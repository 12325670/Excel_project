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3.xml" ContentType="application/vnd.openxmlformats-officedocument.spreadsheetml.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DeltaXI\Desktop\"/>
    </mc:Choice>
  </mc:AlternateContent>
  <bookViews>
    <workbookView xWindow="0" yWindow="0" windowWidth="23040" windowHeight="9780" tabRatio="838" firstSheet="3" activeTab="10"/>
  </bookViews>
  <sheets>
    <sheet name="Sheet13" sheetId="14" r:id="rId1"/>
    <sheet name="Sheet14" sheetId="15" r:id="rId2"/>
    <sheet name="KPI matrices" sheetId="4" r:id="rId3"/>
    <sheet name="per day activity duration" sheetId="5" r:id="rId4"/>
    <sheet name="Steps over time" sheetId="7" r:id="rId5"/>
    <sheet name="Sheet11" sheetId="12" r:id="rId6"/>
    <sheet name="Speed Trend" sheetId="8" r:id="rId7"/>
    <sheet name="Sheet10" sheetId="11" r:id="rId8"/>
    <sheet name="Sheet12" sheetId="13" r:id="rId9"/>
    <sheet name="Daily activity metrics" sheetId="1" r:id="rId10"/>
    <sheet name="Dashboard" sheetId="3" r:id="rId11"/>
    <sheet name="metrices 2" sheetId="2" r:id="rId12"/>
    <sheet name="matrices 3" sheetId="9" r:id="rId13"/>
    <sheet name="Sheet9" sheetId="10" r:id="rId14"/>
  </sheets>
  <definedNames>
    <definedName name="Slicer_Date">#N/A</definedName>
  </definedNames>
  <calcPr calcId="162913"/>
  <pivotCaches>
    <pivotCache cacheId="0" r:id="rId15"/>
  </pivotCaches>
  <extLs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F5" i="10" l="1"/>
  <c r="F3" i="10"/>
  <c r="F4" i="10"/>
  <c r="F6" i="10"/>
  <c r="F7" i="10"/>
  <c r="F8" i="10"/>
  <c r="F2" i="10"/>
  <c r="R4" i="9"/>
</calcChain>
</file>

<file path=xl/sharedStrings.xml><?xml version="1.0" encoding="utf-8"?>
<sst xmlns="http://schemas.openxmlformats.org/spreadsheetml/2006/main" count="258" uniqueCount="68">
  <si>
    <t>Date</t>
  </si>
  <si>
    <t>Move Minutes count</t>
  </si>
  <si>
    <t>Calories (kcal)</t>
  </si>
  <si>
    <t>Distance (m)</t>
  </si>
  <si>
    <t>Heart Points</t>
  </si>
  <si>
    <t>Heart Minutes</t>
  </si>
  <si>
    <t>Low latitude (deg)</t>
  </si>
  <si>
    <t>Low longitude (deg)</t>
  </si>
  <si>
    <t>High latitude (deg)</t>
  </si>
  <si>
    <t>High longitude (deg)</t>
  </si>
  <si>
    <t>Average speed (m/s)</t>
  </si>
  <si>
    <t>Max speed (m/s)</t>
  </si>
  <si>
    <t>Min speed (m/s)</t>
  </si>
  <si>
    <t>Step count</t>
  </si>
  <si>
    <t>Average weight (kg)</t>
  </si>
  <si>
    <t>Max weight (kg)</t>
  </si>
  <si>
    <t>Min weight (kg)</t>
  </si>
  <si>
    <t>Cycling duration (ms)</t>
  </si>
  <si>
    <t>Inactive duration (ms)</t>
  </si>
  <si>
    <t>Walking duration (ms)</t>
  </si>
  <si>
    <t>Running duration (ms)</t>
  </si>
  <si>
    <t>Dancing duration (ms)</t>
  </si>
  <si>
    <t>P90x duration (ms)</t>
  </si>
  <si>
    <t>Yoga duration (ms)</t>
  </si>
  <si>
    <t>Other duration (ms)</t>
  </si>
  <si>
    <t>Row Labels</t>
  </si>
  <si>
    <t>Grand Total</t>
  </si>
  <si>
    <t>Oct</t>
  </si>
  <si>
    <t>Nov</t>
  </si>
  <si>
    <t>Dec</t>
  </si>
  <si>
    <t>Jan</t>
  </si>
  <si>
    <t>Feb</t>
  </si>
  <si>
    <t>Mar</t>
  </si>
  <si>
    <t>Apr</t>
  </si>
  <si>
    <t>May</t>
  </si>
  <si>
    <t>Jun</t>
  </si>
  <si>
    <t>Jul</t>
  </si>
  <si>
    <t>Aug</t>
  </si>
  <si>
    <t>Sep</t>
  </si>
  <si>
    <t>Count of Cycling duration (ms)</t>
  </si>
  <si>
    <t>Count of Inactive duration (ms)</t>
  </si>
  <si>
    <t>Count of Walking duration (ms)</t>
  </si>
  <si>
    <t>Count of Running duration (ms)</t>
  </si>
  <si>
    <t>Count of Dancing duration (ms)</t>
  </si>
  <si>
    <t>Count of P90x duration (ms)</t>
  </si>
  <si>
    <t>Count of Yoga duration (ms)</t>
  </si>
  <si>
    <t>Count of Other duration (ms)</t>
  </si>
  <si>
    <t>Sum of Step count</t>
  </si>
  <si>
    <t>Sum of Calories (kcal)</t>
  </si>
  <si>
    <t>Average of Distance (m)</t>
  </si>
  <si>
    <t>Sum of Move Minutes count</t>
  </si>
  <si>
    <t xml:space="preserve"> </t>
  </si>
  <si>
    <t>Average of Cycling duration (ms)</t>
  </si>
  <si>
    <t>Average of Walking duration (ms)</t>
  </si>
  <si>
    <t>Activity type</t>
  </si>
  <si>
    <t xml:space="preserve">Walking </t>
  </si>
  <si>
    <t>Cycling</t>
  </si>
  <si>
    <t>Yoga</t>
  </si>
  <si>
    <t>Workout</t>
  </si>
  <si>
    <t>Dancing</t>
  </si>
  <si>
    <t>Swimming</t>
  </si>
  <si>
    <t>Running</t>
  </si>
  <si>
    <t xml:space="preserve">calories burned per hr </t>
  </si>
  <si>
    <t>average time in minutes</t>
  </si>
  <si>
    <t>calories burned</t>
  </si>
  <si>
    <t>Average of Min speed (m/s)</t>
  </si>
  <si>
    <t>Average of Max speed (m/s)</t>
  </si>
  <si>
    <t>Count of Heart 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</si>
</sst>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14" fontId="0" fillId="0" borderId="0" xfId="0" applyNumberFormat="1" applyAlignment="1">
      <alignment horizontal="left"/>
    </xf>
    <xf numFmtId="0"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9" formatCode="m/d/yyyy"/>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3.xlsx]per day activity duration!PivotTable2</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Activity</a:t>
            </a:r>
            <a:r>
              <a:rPr lang="en-US" baseline="0"/>
              <a:t> Duration Per Month</a:t>
            </a: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alpha val="85000"/>
            </a:schemeClr>
          </a:solidFill>
          <a:ln w="9525" cap="flat" cmpd="sng" algn="ctr">
            <a:solidFill>
              <a:schemeClr val="lt1">
                <a:alpha val="50000"/>
              </a:schemeClr>
            </a:solidFill>
            <a:round/>
          </a:ln>
          <a:effectLst/>
        </c:spPr>
        <c:marker>
          <c:spPr>
            <a:solidFill>
              <a:schemeClr val="accent2">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alpha val="85000"/>
            </a:schemeClr>
          </a:solidFill>
          <a:ln w="9525" cap="flat" cmpd="sng" algn="ctr">
            <a:solidFill>
              <a:schemeClr val="lt1">
                <a:alpha val="50000"/>
              </a:schemeClr>
            </a:solidFill>
            <a:round/>
          </a:ln>
          <a:effectLst/>
        </c:spPr>
        <c:marker>
          <c:spPr>
            <a:solidFill>
              <a:schemeClr val="accent2">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alpha val="85000"/>
            </a:schemeClr>
          </a:solidFill>
          <a:ln w="9525" cap="flat" cmpd="sng" algn="ctr">
            <a:solidFill>
              <a:schemeClr val="lt1">
                <a:alpha val="50000"/>
              </a:schemeClr>
            </a:solidFill>
            <a:round/>
          </a:ln>
          <a:effectLst/>
        </c:spPr>
        <c:marker>
          <c:spPr>
            <a:solidFill>
              <a:schemeClr val="accent2">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alpha val="85000"/>
            </a:schemeClr>
          </a:solidFill>
          <a:ln w="9525" cap="flat" cmpd="sng" algn="ctr">
            <a:solidFill>
              <a:schemeClr val="lt1">
                <a:alpha val="50000"/>
              </a:schemeClr>
            </a:solidFill>
            <a:round/>
          </a:ln>
          <a:effectLst/>
        </c:spPr>
        <c:marker>
          <c:spPr>
            <a:solidFill>
              <a:schemeClr val="accent2">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2">
              <a:alpha val="85000"/>
            </a:schemeClr>
          </a:solidFill>
          <a:ln w="9525" cap="flat" cmpd="sng" algn="ctr">
            <a:solidFill>
              <a:schemeClr val="lt1">
                <a:alpha val="50000"/>
              </a:schemeClr>
            </a:solidFill>
            <a:round/>
          </a:ln>
          <a:effectLst/>
        </c:spPr>
        <c:marker>
          <c:spPr>
            <a:solidFill>
              <a:schemeClr val="accent2">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2">
              <a:alpha val="85000"/>
            </a:schemeClr>
          </a:solidFill>
          <a:ln w="9525" cap="flat" cmpd="sng" algn="ctr">
            <a:solidFill>
              <a:schemeClr val="lt1">
                <a:alpha val="50000"/>
              </a:schemeClr>
            </a:solidFill>
            <a:round/>
          </a:ln>
          <a:effectLst/>
        </c:spPr>
        <c:marker>
          <c:spPr>
            <a:solidFill>
              <a:schemeClr val="accent2">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2">
              <a:alpha val="85000"/>
            </a:schemeClr>
          </a:solidFill>
          <a:ln w="9525" cap="flat" cmpd="sng" algn="ctr">
            <a:solidFill>
              <a:schemeClr val="lt1">
                <a:alpha val="50000"/>
              </a:schemeClr>
            </a:solidFill>
            <a:round/>
          </a:ln>
          <a:effectLst/>
        </c:spPr>
        <c:marker>
          <c:spPr>
            <a:solidFill>
              <a:schemeClr val="accent2">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alpha val="85000"/>
            </a:schemeClr>
          </a:solidFill>
          <a:ln w="9525" cap="flat" cmpd="sng" algn="ctr">
            <a:solidFill>
              <a:schemeClr val="lt1">
                <a:alpha val="50000"/>
              </a:schemeClr>
            </a:solidFill>
            <a:round/>
          </a:ln>
          <a:effectLst/>
        </c:spPr>
        <c:marker>
          <c:spPr>
            <a:solidFill>
              <a:schemeClr val="accent2">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alpha val="85000"/>
            </a:schemeClr>
          </a:solidFill>
          <a:ln w="9525" cap="flat" cmpd="sng" algn="ctr">
            <a:solidFill>
              <a:schemeClr val="lt1">
                <a:alpha val="50000"/>
              </a:schemeClr>
            </a:solidFill>
            <a:round/>
          </a:ln>
          <a:effectLst/>
        </c:spPr>
        <c:marker>
          <c:symbol val="none"/>
        </c:marker>
      </c:pivotFmt>
      <c:pivotFmt>
        <c:idx val="33"/>
        <c:spPr>
          <a:solidFill>
            <a:schemeClr val="accent2">
              <a:alpha val="85000"/>
            </a:schemeClr>
          </a:solidFill>
          <a:ln w="9525" cap="flat" cmpd="sng" algn="ctr">
            <a:solidFill>
              <a:schemeClr val="lt1">
                <a:alpha val="50000"/>
              </a:schemeClr>
            </a:solidFill>
            <a:round/>
          </a:ln>
          <a:effectLst/>
        </c:spPr>
        <c:marker>
          <c:symbol val="none"/>
        </c:marker>
      </c:pivotFmt>
      <c:pivotFmt>
        <c:idx val="34"/>
        <c:spPr>
          <a:solidFill>
            <a:schemeClr val="accent2">
              <a:alpha val="85000"/>
            </a:schemeClr>
          </a:solidFill>
          <a:ln w="9525" cap="flat" cmpd="sng" algn="ctr">
            <a:solidFill>
              <a:schemeClr val="lt1">
                <a:alpha val="50000"/>
              </a:schemeClr>
            </a:solidFill>
            <a:round/>
          </a:ln>
          <a:effectLst/>
        </c:spPr>
        <c:marker>
          <c:symbol val="none"/>
        </c:marker>
      </c:pivotFmt>
      <c:pivotFmt>
        <c:idx val="35"/>
        <c:spPr>
          <a:solidFill>
            <a:schemeClr val="accent2">
              <a:alpha val="85000"/>
            </a:schemeClr>
          </a:solidFill>
          <a:ln w="9525" cap="flat" cmpd="sng" algn="ctr">
            <a:solidFill>
              <a:schemeClr val="lt1">
                <a:alpha val="50000"/>
              </a:schemeClr>
            </a:solidFill>
            <a:round/>
          </a:ln>
          <a:effectLst/>
        </c:spPr>
        <c:marker>
          <c:symbol val="none"/>
        </c:marker>
      </c:pivotFmt>
      <c:pivotFmt>
        <c:idx val="36"/>
        <c:spPr>
          <a:solidFill>
            <a:schemeClr val="accent2">
              <a:alpha val="85000"/>
            </a:schemeClr>
          </a:solidFill>
          <a:ln w="9525" cap="flat" cmpd="sng" algn="ctr">
            <a:solidFill>
              <a:schemeClr val="lt1">
                <a:alpha val="50000"/>
              </a:schemeClr>
            </a:solidFill>
            <a:round/>
          </a:ln>
          <a:effectLst/>
        </c:spPr>
        <c:marker>
          <c:symbol val="none"/>
        </c:marker>
      </c:pivotFmt>
      <c:pivotFmt>
        <c:idx val="37"/>
        <c:spPr>
          <a:solidFill>
            <a:schemeClr val="accent2">
              <a:alpha val="85000"/>
            </a:schemeClr>
          </a:solidFill>
          <a:ln w="9525" cap="flat" cmpd="sng" algn="ctr">
            <a:solidFill>
              <a:schemeClr val="lt1">
                <a:alpha val="50000"/>
              </a:schemeClr>
            </a:solidFill>
            <a:round/>
          </a:ln>
          <a:effectLst/>
        </c:spPr>
        <c:marker>
          <c:symbol val="none"/>
        </c:marker>
      </c:pivotFmt>
      <c:pivotFmt>
        <c:idx val="38"/>
        <c:spPr>
          <a:solidFill>
            <a:schemeClr val="accent2">
              <a:alpha val="85000"/>
            </a:schemeClr>
          </a:solidFill>
          <a:ln w="9525" cap="flat" cmpd="sng" algn="ctr">
            <a:solidFill>
              <a:schemeClr val="lt1">
                <a:alpha val="50000"/>
              </a:schemeClr>
            </a:solidFill>
            <a:round/>
          </a:ln>
          <a:effectLst/>
        </c:spPr>
        <c:marker>
          <c:symbol val="none"/>
        </c:marker>
      </c:pivotFmt>
      <c:pivotFmt>
        <c:idx val="39"/>
        <c:spPr>
          <a:solidFill>
            <a:schemeClr val="accent2">
              <a:alpha val="85000"/>
            </a:schemeClr>
          </a:solidFill>
          <a:ln w="9525" cap="flat" cmpd="sng" algn="ctr">
            <a:solidFill>
              <a:schemeClr val="lt1">
                <a:alpha val="50000"/>
              </a:schemeClr>
            </a:solidFill>
            <a:round/>
          </a:ln>
          <a:effectLst/>
        </c:spPr>
        <c:marker>
          <c:symbol val="none"/>
        </c:marker>
      </c:pivotFmt>
    </c:pivotFmts>
    <c:plotArea>
      <c:layout/>
      <c:barChart>
        <c:barDir val="col"/>
        <c:grouping val="stacked"/>
        <c:varyColors val="0"/>
        <c:ser>
          <c:idx val="0"/>
          <c:order val="0"/>
          <c:tx>
            <c:strRef>
              <c:f>'per day activity duration'!$B$3</c:f>
              <c:strCache>
                <c:ptCount val="1"/>
                <c:pt idx="0">
                  <c:v>Count of Cycling duration (ms)</c:v>
                </c:pt>
              </c:strCache>
            </c:strRef>
          </c:tx>
          <c:spPr>
            <a:solidFill>
              <a:schemeClr val="accent2">
                <a:alpha val="85000"/>
              </a:schemeClr>
            </a:solidFill>
            <a:ln w="9525" cap="flat" cmpd="sng" algn="ctr">
              <a:solidFill>
                <a:schemeClr val="lt1">
                  <a:alpha val="50000"/>
                </a:schemeClr>
              </a:solidFill>
              <a:round/>
            </a:ln>
            <a:effectLst/>
          </c:spPr>
          <c:invertIfNegative val="0"/>
          <c:dLbls>
            <c:delete val="1"/>
          </c:dLbls>
          <c:cat>
            <c:strRef>
              <c:f>'per day activity duration'!$A$4:$A$16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'per day activity duration'!$B$4:$B$16</c:f>
              <c:numCache>
                <c:formatCode>General</c:formatCode>
                <c:ptCount val="12"/>
                <c:pt idx="0">
                  <c:v>31</c:v>
                </c:pt>
                <c:pt idx="1">
                  <c:v>47</c:v>
                </c:pt>
                <c:pt idx="2">
                  <c:v>36</c:v>
                </c:pt>
                <c:pt idx="3">
                  <c:v>35</c:v>
                </c:pt>
                <c:pt idx="4">
                  <c:v>16</c:v>
                </c:pt>
                <c:pt idx="5">
                  <c:v>12</c:v>
                </c:pt>
                <c:pt idx="6">
                  <c:v>3</c:v>
                </c:pt>
                <c:pt idx="7">
                  <c:v>23</c:v>
                </c:pt>
                <c:pt idx="8">
                  <c:v>26</c:v>
                </c:pt>
                <c:pt idx="9">
                  <c:v>31</c:v>
                </c:pt>
                <c:pt idx="10">
                  <c:v>39</c:v>
                </c:pt>
                <c:pt idx="11">
                  <c:v>31</c:v>
                </c:pt>
              </c:numCache>
            </c:numRef>
          </c:val>
          <c:extLst>
            <c:ext xmlns:c16="http://schemas.microsoft.com/office/drawing/2014/chart" uri="{C3380CC4-5D6E-409C-BE32-E72D297353CC}">
              <c16:uniqueId val="{00000000-85C5-4D7B-888E-866DAB9D51FF}"/>
            </c:ext>
          </c:extLst>
        </c:ser>
        <c:ser>
          <c:idx val="1"/>
          <c:order val="1"/>
          <c:tx>
            <c:strRef>
              <c:f>'per day activity duration'!$C$3</c:f>
              <c:strCache>
                <c:ptCount val="1"/>
                <c:pt idx="0">
                  <c:v>Count of Inactive duration (ms)</c:v>
                </c:pt>
              </c:strCache>
            </c:strRef>
          </c:tx>
          <c:spPr>
            <a:solidFill>
              <a:schemeClr val="accent4">
                <a:alpha val="85000"/>
              </a:schemeClr>
            </a:solidFill>
            <a:ln w="9525" cap="flat" cmpd="sng" algn="ctr">
              <a:solidFill>
                <a:schemeClr val="lt1">
                  <a:alpha val="50000"/>
                </a:schemeClr>
              </a:solidFill>
              <a:round/>
            </a:ln>
            <a:effectLst/>
          </c:spPr>
          <c:invertIfNegative val="0"/>
          <c:dLbls>
            <c:delete val="1"/>
          </c:dLbls>
          <c:cat>
            <c:strRef>
              <c:f>'per day activity duration'!$A$4:$A$16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'per day activity duration'!$C$4:$C$16</c:f>
              <c:numCache>
                <c:formatCode>General</c:formatCode>
                <c:ptCount val="12"/>
                <c:pt idx="0">
                  <c:v>1</c:v>
                </c:pt>
                <c:pt idx="2">
                  <c:v>3</c:v>
                </c:pt>
              </c:numCache>
            </c:numRef>
          </c:val>
          <c:extLst>
            <c:ext xmlns:c16="http://schemas.microsoft.com/office/drawing/2014/chart" uri="{C3380CC4-5D6E-409C-BE32-E72D297353CC}">
              <c16:uniqueId val="{00000001-85C5-4D7B-888E-866DAB9D51FF}"/>
            </c:ext>
          </c:extLst>
        </c:ser>
        <c:ser>
          <c:idx val="2"/>
          <c:order val="2"/>
          <c:tx>
            <c:strRef>
              <c:f>'per day activity duration'!$D$3</c:f>
              <c:strCache>
                <c:ptCount val="1"/>
                <c:pt idx="0">
                  <c:v>Count of Yoga duration (ms)</c:v>
                </c:pt>
              </c:strCache>
            </c:strRef>
          </c:tx>
          <c:spPr>
            <a:solidFill>
              <a:schemeClr val="accent6">
                <a:alpha val="85000"/>
              </a:schemeClr>
            </a:solidFill>
            <a:ln w="9525" cap="flat" cmpd="sng" algn="ctr">
              <a:solidFill>
                <a:schemeClr val="lt1">
                  <a:alpha val="50000"/>
                </a:schemeClr>
              </a:solidFill>
              <a:round/>
            </a:ln>
            <a:effectLst/>
          </c:spPr>
          <c:invertIfNegative val="0"/>
          <c:dLbls>
            <c:delete val="1"/>
          </c:dLbls>
          <c:cat>
            <c:strRef>
              <c:f>'per day activity duration'!$A$4:$A$16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'per day activity duration'!$D$4:$D$16</c:f>
              <c:numCache>
                <c:formatCode>General</c:formatCode>
                <c:ptCount val="12"/>
                <c:pt idx="2">
                  <c:v>1</c:v>
                </c:pt>
              </c:numCache>
            </c:numRef>
          </c:val>
          <c:extLst>
            <c:ext xmlns:c16="http://schemas.microsoft.com/office/drawing/2014/chart" uri="{C3380CC4-5D6E-409C-BE32-E72D297353CC}">
              <c16:uniqueId val="{00000002-85C5-4D7B-888E-866DAB9D51FF}"/>
            </c:ext>
          </c:extLst>
        </c:ser>
        <c:ser>
          <c:idx val="3"/>
          <c:order val="3"/>
          <c:tx>
            <c:strRef>
              <c:f>'per day activity duration'!$E$3</c:f>
              <c:strCache>
                <c:ptCount val="1"/>
                <c:pt idx="0">
                  <c:v>Count of P90x duration (ms)</c:v>
                </c:pt>
              </c:strCache>
            </c:strRef>
          </c:tx>
          <c:spPr>
            <a:solidFill>
              <a:schemeClr val="accent2">
                <a:lumMod val="60000"/>
                <a:alpha val="85000"/>
              </a:schemeClr>
            </a:solidFill>
            <a:ln w="9525" cap="flat" cmpd="sng" algn="ctr">
              <a:solidFill>
                <a:schemeClr val="lt1">
                  <a:alpha val="50000"/>
                </a:schemeClr>
              </a:solidFill>
              <a:round/>
            </a:ln>
            <a:effectLst/>
          </c:spPr>
          <c:invertIfNegative val="0"/>
          <c:dLbls>
            <c:delete val="1"/>
          </c:dLbls>
          <c:cat>
            <c:strRef>
              <c:f>'per day activity duration'!$A$4:$A$16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'per day activity duration'!$E$4:$E$16</c:f>
              <c:numCache>
                <c:formatCode>General</c:formatCode>
                <c:ptCount val="12"/>
                <c:pt idx="2">
                  <c:v>3</c:v>
                </c:pt>
              </c:numCache>
            </c:numRef>
          </c:val>
          <c:extLst>
            <c:ext xmlns:c16="http://schemas.microsoft.com/office/drawing/2014/chart" uri="{C3380CC4-5D6E-409C-BE32-E72D297353CC}">
              <c16:uniqueId val="{00000003-85C5-4D7B-888E-866DAB9D51FF}"/>
            </c:ext>
          </c:extLst>
        </c:ser>
        <c:ser>
          <c:idx val="4"/>
          <c:order val="4"/>
          <c:tx>
            <c:strRef>
              <c:f>'per day activity duration'!$F$3</c:f>
              <c:strCache>
                <c:ptCount val="1"/>
                <c:pt idx="0">
                  <c:v>Count of Other duration (ms)</c:v>
                </c:pt>
              </c:strCache>
            </c:strRef>
          </c:tx>
          <c:spPr>
            <a:solidFill>
              <a:schemeClr val="accent4">
                <a:lumMod val="60000"/>
                <a:alpha val="85000"/>
              </a:schemeClr>
            </a:solidFill>
            <a:ln w="9525" cap="flat" cmpd="sng" algn="ctr">
              <a:solidFill>
                <a:schemeClr val="lt1">
                  <a:alpha val="50000"/>
                </a:schemeClr>
              </a:solidFill>
              <a:round/>
            </a:ln>
            <a:effectLst/>
          </c:spPr>
          <c:invertIfNegative val="0"/>
          <c:dLbls>
            <c:delete val="1"/>
          </c:dLbls>
          <c:cat>
            <c:strRef>
              <c:f>'per day activity duration'!$A$4:$A$16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'per day activity duration'!$F$4:$F$16</c:f>
              <c:numCache>
                <c:formatCode>General</c:formatCode>
                <c:ptCount val="12"/>
                <c:pt idx="2">
                  <c:v>15</c:v>
                </c:pt>
                <c:pt idx="3">
                  <c:v>2</c:v>
                </c:pt>
              </c:numCache>
            </c:numRef>
          </c:val>
          <c:extLst>
            <c:ext xmlns:c16="http://schemas.microsoft.com/office/drawing/2014/chart" uri="{C3380CC4-5D6E-409C-BE32-E72D297353CC}">
              <c16:uniqueId val="{00000004-85C5-4D7B-888E-866DAB9D51FF}"/>
            </c:ext>
          </c:extLst>
        </c:ser>
        <c:ser>
          <c:idx val="5"/>
          <c:order val="5"/>
          <c:tx>
            <c:strRef>
              <c:f>'per day activity duration'!$G$3</c:f>
              <c:strCache>
                <c:ptCount val="1"/>
                <c:pt idx="0">
                  <c:v>Count of Walking duration (ms)</c:v>
                </c:pt>
              </c:strCache>
            </c:strRef>
          </c:tx>
          <c:spPr>
            <a:solidFill>
              <a:schemeClr val="accent6">
                <a:lumMod val="60000"/>
                <a:alpha val="85000"/>
              </a:schemeClr>
            </a:solidFill>
            <a:ln w="9525" cap="flat" cmpd="sng" algn="ctr">
              <a:solidFill>
                <a:schemeClr val="lt1">
                  <a:alpha val="50000"/>
                </a:schemeClr>
              </a:solidFill>
              <a:round/>
            </a:ln>
            <a:effectLst/>
          </c:spPr>
          <c:invertIfNegative val="0"/>
          <c:dLbls>
            <c:delete val="1"/>
          </c:dLbls>
          <c:cat>
            <c:strRef>
              <c:f>'per day activity duration'!$A$4:$A$16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'per day activity duration'!$G$4:$G$16</c:f>
              <c:numCache>
                <c:formatCode>General</c:formatCode>
                <c:ptCount val="12"/>
                <c:pt idx="0">
                  <c:v>58</c:v>
                </c:pt>
                <c:pt idx="1">
                  <c:v>57</c:v>
                </c:pt>
                <c:pt idx="2">
                  <c:v>61</c:v>
                </c:pt>
                <c:pt idx="3">
                  <c:v>41</c:v>
                </c:pt>
                <c:pt idx="4">
                  <c:v>31</c:v>
                </c:pt>
                <c:pt idx="5">
                  <c:v>29</c:v>
                </c:pt>
                <c:pt idx="6">
                  <c:v>31</c:v>
                </c:pt>
                <c:pt idx="7">
                  <c:v>31</c:v>
                </c:pt>
                <c:pt idx="8">
                  <c:v>30</c:v>
                </c:pt>
                <c:pt idx="9">
                  <c:v>46</c:v>
                </c:pt>
                <c:pt idx="10">
                  <c:v>59</c:v>
                </c:pt>
                <c:pt idx="11">
                  <c:v>55</c:v>
                </c:pt>
              </c:numCache>
            </c:numRef>
          </c:val>
          <c:extLst>
            <c:ext xmlns:c16="http://schemas.microsoft.com/office/drawing/2014/chart" uri="{C3380CC4-5D6E-409C-BE32-E72D297353CC}">
              <c16:uniqueId val="{00000005-85C5-4D7B-888E-866DAB9D51FF}"/>
            </c:ext>
          </c:extLst>
        </c:ser>
        <c:ser>
          <c:idx val="6"/>
          <c:order val="6"/>
          <c:tx>
            <c:strRef>
              <c:f>'per day activity duration'!$H$3</c:f>
              <c:strCache>
                <c:ptCount val="1"/>
                <c:pt idx="0">
                  <c:v>Count of Dancing duration (ms)</c:v>
                </c:pt>
              </c:strCache>
            </c:strRef>
          </c:tx>
          <c:spPr>
            <a:solidFill>
              <a:schemeClr val="accent2">
                <a:lumMod val="80000"/>
                <a:lumOff val="20000"/>
                <a:alpha val="85000"/>
              </a:schemeClr>
            </a:solidFill>
            <a:ln w="9525" cap="flat" cmpd="sng" algn="ctr">
              <a:solidFill>
                <a:schemeClr val="lt1">
                  <a:alpha val="50000"/>
                </a:schemeClr>
              </a:solidFill>
              <a:round/>
            </a:ln>
            <a:effectLst/>
          </c:spPr>
          <c:invertIfNegative val="0"/>
          <c:dLbls>
            <c:delete val="1"/>
          </c:dLbls>
          <c:cat>
            <c:strRef>
              <c:f>'per day activity duration'!$A$4:$A$16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'per day activity duration'!$H$4:$H$16</c:f>
              <c:numCache>
                <c:formatCode>General</c:formatCode>
                <c:ptCount val="12"/>
                <c:pt idx="2">
                  <c:v>1</c:v>
                </c:pt>
              </c:numCache>
            </c:numRef>
          </c:val>
          <c:extLst>
            <c:ext xmlns:c16="http://schemas.microsoft.com/office/drawing/2014/chart" uri="{C3380CC4-5D6E-409C-BE32-E72D297353CC}">
              <c16:uniqueId val="{00000006-85C5-4D7B-888E-866DAB9D51FF}"/>
            </c:ext>
          </c:extLst>
        </c:ser>
        <c:ser>
          <c:idx val="7"/>
          <c:order val="7"/>
          <c:tx>
            <c:strRef>
              <c:f>'per day activity duration'!$I$3</c:f>
              <c:strCache>
                <c:ptCount val="1"/>
                <c:pt idx="0">
                  <c:v>Count of Running duration (ms)</c:v>
                </c:pt>
              </c:strCache>
            </c:strRef>
          </c:tx>
          <c:spPr>
            <a:solidFill>
              <a:schemeClr val="accent4">
                <a:lumMod val="80000"/>
                <a:lumOff val="20000"/>
                <a:alpha val="85000"/>
              </a:schemeClr>
            </a:solidFill>
            <a:ln w="9525" cap="flat" cmpd="sng" algn="ctr">
              <a:solidFill>
                <a:schemeClr val="lt1">
                  <a:alpha val="50000"/>
                </a:schemeClr>
              </a:solidFill>
              <a:round/>
            </a:ln>
            <a:effectLst/>
          </c:spPr>
          <c:invertIfNegative val="0"/>
          <c:dLbls>
            <c:delete val="1"/>
          </c:dLbls>
          <c:cat>
            <c:strRef>
              <c:f>'per day activity duration'!$A$4:$A$16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'per day activity duration'!$I$4:$I$16</c:f>
              <c:numCache>
                <c:formatCode>General</c:formatCode>
                <c:ptCount val="12"/>
                <c:pt idx="0">
                  <c:v>8</c:v>
                </c:pt>
                <c:pt idx="1">
                  <c:v>5</c:v>
                </c:pt>
                <c:pt idx="2">
                  <c:v>5</c:v>
                </c:pt>
                <c:pt idx="3">
                  <c:v>3</c:v>
                </c:pt>
                <c:pt idx="4">
                  <c:v>1</c:v>
                </c:pt>
                <c:pt idx="7">
                  <c:v>3</c:v>
                </c:pt>
                <c:pt idx="8">
                  <c:v>2</c:v>
                </c:pt>
                <c:pt idx="9">
                  <c:v>5</c:v>
                </c:pt>
                <c:pt idx="10">
                  <c:v>6</c:v>
                </c:pt>
                <c:pt idx="11">
                  <c:v>2</c:v>
                </c:pt>
              </c:numCache>
            </c:numRef>
          </c:val>
          <c:extLst>
            <c:ext xmlns:c16="http://schemas.microsoft.com/office/drawing/2014/chart" uri="{C3380CC4-5D6E-409C-BE32-E72D297353CC}">
              <c16:uniqueId val="{00000007-85C5-4D7B-888E-866DAB9D51FF}"/>
            </c:ext>
          </c:extLst>
        </c:ser>
        <c:dLbls>
          <c:dLblPos val="ctr"/>
          <c:showLegendKey val="0"/>
          <c:showVal val="1"/>
          <c:showCatName val="0"/>
          <c:showSerName val="0"/>
          <c:showPercent val="0"/>
          <c:showBubbleSize val="0"/>
        </c:dLbls>
        <c:gapWidth val="150"/>
        <c:overlap val="100"/>
        <c:axId val="1975055583"/>
        <c:axId val="1975053087"/>
      </c:barChart>
      <c:catAx>
        <c:axId val="197505558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Months</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75053087"/>
        <c:crosses val="autoZero"/>
        <c:auto val="1"/>
        <c:lblAlgn val="ctr"/>
        <c:lblOffset val="100"/>
        <c:noMultiLvlLbl val="0"/>
      </c:catAx>
      <c:valAx>
        <c:axId val="197505308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Time</a:t>
                </a: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975055583"/>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3.xlsx]Steps over time!PivotTable4</c:name>
    <c:fmtId val="2"/>
  </c:pivotSource>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'Steps over time'!$B$3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543-4BAB-8773-D9835D67E8F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543-4BAB-8773-D9835D67E8F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543-4BAB-8773-D9835D67E8F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543-4BAB-8773-D9835D67E8F4}"/>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543-4BAB-8773-D9835D67E8F4}"/>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B543-4BAB-8773-D9835D67E8F4}"/>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B543-4BAB-8773-D9835D67E8F4}"/>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B543-4BAB-8773-D9835D67E8F4}"/>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B543-4BAB-8773-D9835D67E8F4}"/>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B543-4BAB-8773-D9835D67E8F4}"/>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B543-4BAB-8773-D9835D67E8F4}"/>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B543-4BAB-8773-D9835D67E8F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'Steps over time'!$A$4:$A$16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'Steps over time'!$B$4:$B$16</c:f>
              <c:numCache>
                <c:formatCode>General</c:formatCode>
                <c:ptCount val="12"/>
                <c:pt idx="0">
                  <c:v>341303</c:v>
                </c:pt>
                <c:pt idx="1">
                  <c:v>368451</c:v>
                </c:pt>
                <c:pt idx="2">
                  <c:v>384662</c:v>
                </c:pt>
                <c:pt idx="3">
                  <c:v>359714</c:v>
                </c:pt>
                <c:pt idx="4">
                  <c:v>121057</c:v>
                </c:pt>
                <c:pt idx="5">
                  <c:v>110105</c:v>
                </c:pt>
                <c:pt idx="6">
                  <c:v>140135</c:v>
                </c:pt>
                <c:pt idx="7">
                  <c:v>243850</c:v>
                </c:pt>
                <c:pt idx="8">
                  <c:v>209464</c:v>
                </c:pt>
                <c:pt idx="9">
                  <c:v>245454</c:v>
                </c:pt>
                <c:pt idx="10">
                  <c:v>368896</c:v>
                </c:pt>
                <c:pt idx="11">
                  <c:v>205431</c:v>
                </c:pt>
              </c:numCache>
            </c:numRef>
          </c:val>
          <c:extLst>
            <c:ext xmlns:c16="http://schemas.microsoft.com/office/drawing/2014/chart" uri="{C3380CC4-5D6E-409C-BE32-E72D297353CC}">
              <c16:uniqueId val="{00000000-308A-4933-B7DF-BBD7669A699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3.xlsx]Speed Trend!PivotTable6</c:name>
    <c:fmtId val="0"/>
  </c:pivotSource>
  <c:chart>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s>
    <c:plotArea>
      <c:layout/>
      <c:lineChart>
        <c:grouping val="standard"/>
        <c:varyColors val="0"/>
        <c:ser>
          <c:idx val="0"/>
          <c:order val="0"/>
          <c:tx>
            <c:strRef>
              <c:f>'Speed Trend'!$B$3</c:f>
              <c:strCache>
                <c:ptCount val="1"/>
                <c:pt idx="0">
                  <c:v>Average of Max speed (m/s)</c:v>
                </c:pt>
              </c:strCache>
            </c:strRef>
          </c:tx>
          <c:spPr>
            <a:ln w="28575" cap="rnd">
              <a:solidFill>
                <a:schemeClr val="accent1"/>
              </a:solidFill>
              <a:round/>
            </a:ln>
            <a:effectLst/>
          </c:spPr>
          <c:marker>
            <c:symbol val="none"/>
          </c:marker>
          <c:cat>
            <c:strRef>
              <c:f>'Speed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'Speed Trend'!$B$4:$B$16</c:f>
              <c:numCache>
                <c:formatCode>General</c:formatCode>
                <c:ptCount val="12"/>
                <c:pt idx="0">
                  <c:v>1.5686314169450697</c:v>
                </c:pt>
                <c:pt idx="1">
                  <c:v>1.6411147464320568</c:v>
                </c:pt>
                <c:pt idx="2">
                  <c:v>2.1445471438054189</c:v>
                </c:pt>
                <c:pt idx="3">
                  <c:v>2.0883748089924512</c:v>
                </c:pt>
                <c:pt idx="4">
                  <c:v>1.458843667016761</c:v>
                </c:pt>
                <c:pt idx="5">
                  <c:v>1.438268128467705</c:v>
                </c:pt>
                <c:pt idx="6">
                  <c:v>1.4644626956721176</c:v>
                </c:pt>
                <c:pt idx="7">
                  <c:v>1.5534410844621094</c:v>
                </c:pt>
                <c:pt idx="8">
                  <c:v>1.6309003035246723</c:v>
                </c:pt>
                <c:pt idx="9">
                  <c:v>1.6162992926194357</c:v>
                </c:pt>
                <c:pt idx="10">
                  <c:v>1.6421406047081317</c:v>
                </c:pt>
                <c:pt idx="11">
                  <c:v>1.484003748192662</c:v>
                </c:pt>
              </c:numCache>
            </c:numRef>
          </c:val>
          <c:smooth val="0"/>
          <c:extLst>
            <c:ext xmlns:c16="http://schemas.microsoft.com/office/drawing/2014/chart" uri="{C3380CC4-5D6E-409C-BE32-E72D297353CC}">
              <c16:uniqueId val="{00000000-7943-4F29-9CA3-D0E0E5DDEE20}"/>
            </c:ext>
          </c:extLst>
        </c:ser>
        <c:ser>
          <c:idx val="1"/>
          <c:order val="1"/>
          <c:tx>
            <c:strRef>
              <c:f>'Speed Trend'!$C$3</c:f>
              <c:strCache>
                <c:ptCount val="1"/>
                <c:pt idx="0">
                  <c:v>Average of Min speed (m/s)</c:v>
                </c:pt>
              </c:strCache>
            </c:strRef>
          </c:tx>
          <c:spPr>
            <a:ln w="28575" cap="rnd">
              <a:solidFill>
                <a:schemeClr val="accent2"/>
              </a:solidFill>
              <a:round/>
            </a:ln>
            <a:effectLst/>
          </c:spPr>
          <c:marker>
            <c:symbol val="none"/>
          </c:marker>
          <c:cat>
            <c:strRef>
              <c:f>'Speed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'Speed Trend'!$C$4:$C$16</c:f>
              <c:numCache>
                <c:formatCode>General</c:formatCode>
                <c:ptCount val="12"/>
                <c:pt idx="0">
                  <c:v>0.25879578399694675</c:v>
                </c:pt>
                <c:pt idx="1">
                  <c:v>0.25597075296159699</c:v>
                </c:pt>
                <c:pt idx="2">
                  <c:v>0.22410385522495538</c:v>
                </c:pt>
                <c:pt idx="3">
                  <c:v>0.221620294985484</c:v>
                </c:pt>
                <c:pt idx="4">
                  <c:v>0.26501704879364546</c:v>
                </c:pt>
                <c:pt idx="5">
                  <c:v>0.27339511334506006</c:v>
                </c:pt>
                <c:pt idx="6">
                  <c:v>0.25990543419657652</c:v>
                </c:pt>
                <c:pt idx="7">
                  <c:v>0.25892519906390293</c:v>
                </c:pt>
                <c:pt idx="8">
                  <c:v>0.26669466247540002</c:v>
                </c:pt>
                <c:pt idx="9">
                  <c:v>0.26229245852838956</c:v>
                </c:pt>
                <c:pt idx="10">
                  <c:v>0.26093907707182146</c:v>
                </c:pt>
                <c:pt idx="11">
                  <c:v>0.2647927217720849</c:v>
                </c:pt>
              </c:numCache>
            </c:numRef>
          </c:val>
          <c:smooth val="0"/>
          <c:extLst>
            <c:ext xmlns:c16="http://schemas.microsoft.com/office/drawing/2014/chart" uri="{C3380CC4-5D6E-409C-BE32-E72D297353CC}">
              <c16:uniqueId val="{00000001-7943-4F29-9CA3-D0E0E5DDEE20}"/>
            </c:ext>
          </c:extLst>
        </c:ser>
        <c:dLbls>
          <c:showLegendKey val="0"/>
          <c:showVal val="0"/>
          <c:showCatName val="0"/>
          <c:showSerName val="0"/>
          <c:showPercent val="0"/>
          <c:showBubbleSize val="0"/>
        </c:dLbls>
        <c:smooth val="0"/>
        <c:axId val="1965169455"/>
        <c:axId val="1965170287"/>
      </c:lineChart>
      <c:catAx>
        <c:axId val="1965169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170287"/>
        <c:crosses val="autoZero"/>
        <c:auto val="1"/>
        <c:lblAlgn val="ctr"/>
        <c:lblOffset val="100"/>
        <c:noMultiLvlLbl val="0"/>
      </c:catAx>
      <c:valAx>
        <c:axId val="1965170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16945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27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3106233595800527"/>
          <c:y val="3.70370370370370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Sheet9!$F$1</c:f>
              <c:strCache>
                <c:ptCount val="1"/>
                <c:pt idx="0">
                  <c:v>calories burned</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Sheet9!$E$2:$E$8</c:f>
              <c:strCache>
                <c:ptCount val="7"/>
                <c:pt idx="0">
                  <c:v>Walking </c:v>
                </c:pt>
                <c:pt idx="1">
                  <c:v>Cycling</c:v>
                </c:pt>
                <c:pt idx="2">
                  <c:v>Yoga</c:v>
                </c:pt>
                <c:pt idx="3">
                  <c:v>Workout</c:v>
                </c:pt>
                <c:pt idx="4">
                  <c:v>Dancing</c:v>
                </c:pt>
                <c:pt idx="5">
                  <c:v>Swimming</c:v>
                </c:pt>
                <c:pt idx="6">
                  <c:v>Running</c:v>
                </c:pt>
              </c:strCache>
            </c:strRef>
          </c:cat>
          <c:val>
            <c:numRef>
              <c:f>Sheet9!$F$2:$F$8</c:f>
              <c:numCache>
                <c:formatCode>General</c:formatCode>
                <c:ptCount val="7"/>
                <c:pt idx="0">
                  <c:v>200</c:v>
                </c:pt>
                <c:pt idx="1">
                  <c:v>300</c:v>
                </c:pt>
                <c:pt idx="2">
                  <c:v>50</c:v>
                </c:pt>
                <c:pt idx="3">
                  <c:v>266.66666666666669</c:v>
                </c:pt>
                <c:pt idx="4">
                  <c:v>83.333333333333343</c:v>
                </c:pt>
                <c:pt idx="5">
                  <c:v>300</c:v>
                </c:pt>
                <c:pt idx="6">
                  <c:v>400</c:v>
                </c:pt>
              </c:numCache>
            </c:numRef>
          </c:val>
          <c:extLst>
            <c:ext xmlns:c16="http://schemas.microsoft.com/office/drawing/2014/chart" uri="{C3380CC4-5D6E-409C-BE32-E72D297353CC}">
              <c16:uniqueId val="{00000000-B39F-46C0-9E41-28ECE1AADF80}"/>
            </c:ext>
          </c:extLst>
        </c:ser>
        <c:dLbls>
          <c:dLblPos val="inEnd"/>
          <c:showLegendKey val="0"/>
          <c:showVal val="1"/>
          <c:showCatName val="0"/>
          <c:showSerName val="0"/>
          <c:showPercent val="0"/>
          <c:showBubbleSize val="0"/>
        </c:dLbls>
        <c:gapWidth val="65"/>
        <c:axId val="548928911"/>
        <c:axId val="548926415"/>
      </c:barChart>
      <c:catAx>
        <c:axId val="54892891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48926415"/>
        <c:crosses val="autoZero"/>
        <c:auto val="1"/>
        <c:lblAlgn val="ctr"/>
        <c:lblOffset val="100"/>
        <c:noMultiLvlLbl val="0"/>
      </c:catAx>
      <c:valAx>
        <c:axId val="54892641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48928911"/>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3.xlsx]per day activity duration!PivotTable2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Activity</a:t>
            </a:r>
            <a:r>
              <a:rPr lang="en-US" baseline="0"/>
              <a:t> Duration Per Month</a:t>
            </a:r>
            <a:endParaRPr lang="en-US"/>
          </a:p>
        </c:rich>
      </c:tx>
      <c:layout>
        <c:manualLayout>
          <c:xMode val="edge"/>
          <c:yMode val="edge"/>
          <c:x val="0.3248461289277616"/>
          <c:y val="0.1020615457123587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alpha val="85000"/>
            </a:schemeClr>
          </a:solidFill>
          <a:ln w="9525" cap="flat" cmpd="sng" algn="ctr">
            <a:solidFill>
              <a:schemeClr val="lt1">
                <a:alpha val="50000"/>
              </a:schemeClr>
            </a:solidFill>
            <a:round/>
          </a:ln>
          <a:effectLst/>
        </c:spPr>
        <c:marker>
          <c:spPr>
            <a:solidFill>
              <a:schemeClr val="accent2">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alpha val="85000"/>
            </a:schemeClr>
          </a:solidFill>
          <a:ln w="9525" cap="flat" cmpd="sng" algn="ctr">
            <a:solidFill>
              <a:schemeClr val="lt1">
                <a:alpha val="50000"/>
              </a:schemeClr>
            </a:solidFill>
            <a:round/>
          </a:ln>
          <a:effectLst/>
        </c:spPr>
        <c:marker>
          <c:spPr>
            <a:solidFill>
              <a:schemeClr val="accent2">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alpha val="85000"/>
            </a:schemeClr>
          </a:solidFill>
          <a:ln w="9525" cap="flat" cmpd="sng" algn="ctr">
            <a:solidFill>
              <a:schemeClr val="lt1">
                <a:alpha val="50000"/>
              </a:schemeClr>
            </a:solidFill>
            <a:round/>
          </a:ln>
          <a:effectLst/>
        </c:spPr>
        <c:marker>
          <c:spPr>
            <a:solidFill>
              <a:schemeClr val="accent2">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alpha val="85000"/>
            </a:schemeClr>
          </a:solidFill>
          <a:ln w="9525" cap="flat" cmpd="sng" algn="ctr">
            <a:solidFill>
              <a:schemeClr val="lt1">
                <a:alpha val="50000"/>
              </a:schemeClr>
            </a:solidFill>
            <a:round/>
          </a:ln>
          <a:effectLst/>
        </c:spPr>
        <c:marker>
          <c:spPr>
            <a:solidFill>
              <a:schemeClr val="accent2">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2">
              <a:alpha val="85000"/>
            </a:schemeClr>
          </a:solidFill>
          <a:ln w="9525" cap="flat" cmpd="sng" algn="ctr">
            <a:solidFill>
              <a:schemeClr val="lt1">
                <a:alpha val="50000"/>
              </a:schemeClr>
            </a:solidFill>
            <a:round/>
          </a:ln>
          <a:effectLst/>
        </c:spPr>
        <c:marker>
          <c:spPr>
            <a:solidFill>
              <a:schemeClr val="accent2">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2">
              <a:alpha val="85000"/>
            </a:schemeClr>
          </a:solidFill>
          <a:ln w="9525" cap="flat" cmpd="sng" algn="ctr">
            <a:solidFill>
              <a:schemeClr val="lt1">
                <a:alpha val="50000"/>
              </a:schemeClr>
            </a:solidFill>
            <a:round/>
          </a:ln>
          <a:effectLst/>
        </c:spPr>
        <c:marker>
          <c:spPr>
            <a:solidFill>
              <a:schemeClr val="accent2">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2">
              <a:alpha val="85000"/>
            </a:schemeClr>
          </a:solidFill>
          <a:ln w="9525" cap="flat" cmpd="sng" algn="ctr">
            <a:solidFill>
              <a:schemeClr val="lt1">
                <a:alpha val="50000"/>
              </a:schemeClr>
            </a:solidFill>
            <a:round/>
          </a:ln>
          <a:effectLst/>
        </c:spPr>
        <c:marker>
          <c:spPr>
            <a:solidFill>
              <a:schemeClr val="accent2">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alpha val="85000"/>
            </a:schemeClr>
          </a:solidFill>
          <a:ln w="9525" cap="flat" cmpd="sng" algn="ctr">
            <a:solidFill>
              <a:schemeClr val="lt1">
                <a:alpha val="50000"/>
              </a:schemeClr>
            </a:solidFill>
            <a:round/>
          </a:ln>
          <a:effectLst/>
        </c:spPr>
        <c:marker>
          <c:spPr>
            <a:solidFill>
              <a:schemeClr val="accent2">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2">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1"/>
        <c:spPr>
          <a:solidFill>
            <a:schemeClr val="accent2">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2"/>
        <c:spPr>
          <a:solidFill>
            <a:schemeClr val="accent2">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3"/>
        <c:spPr>
          <a:solidFill>
            <a:schemeClr val="accent2">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accent2">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chemeClr val="accent2">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6"/>
        <c:spPr>
          <a:solidFill>
            <a:schemeClr val="accent2">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chemeClr val="accent2">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4.0468155766243505E-2"/>
          <c:y val="0.20513192429893631"/>
          <c:w val="0.71693857145407847"/>
          <c:h val="0.59898141602268762"/>
        </c:manualLayout>
      </c:layout>
      <c:barChart>
        <c:barDir val="col"/>
        <c:grouping val="stacked"/>
        <c:varyColors val="0"/>
        <c:ser>
          <c:idx val="0"/>
          <c:order val="0"/>
          <c:tx>
            <c:strRef>
              <c:f>'per day activity duration'!$B$3</c:f>
              <c:strCache>
                <c:ptCount val="1"/>
                <c:pt idx="0">
                  <c:v>Count of Cycling duration (ms)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'per day activity duration'!$A$4:$A$16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'per day activity duration'!$B$4:$B$16</c:f>
              <c:numCache>
                <c:formatCode>General</c:formatCode>
                <c:ptCount val="12"/>
                <c:pt idx="0">
                  <c:v>31</c:v>
                </c:pt>
                <c:pt idx="1">
                  <c:v>47</c:v>
                </c:pt>
                <c:pt idx="2">
                  <c:v>36</c:v>
                </c:pt>
                <c:pt idx="3">
                  <c:v>35</c:v>
                </c:pt>
                <c:pt idx="4">
                  <c:v>16</c:v>
                </c:pt>
                <c:pt idx="5">
                  <c:v>12</c:v>
                </c:pt>
                <c:pt idx="6">
                  <c:v>3</c:v>
                </c:pt>
                <c:pt idx="7">
                  <c:v>23</c:v>
                </c:pt>
                <c:pt idx="8">
                  <c:v>26</c:v>
                </c:pt>
                <c:pt idx="9">
                  <c:v>31</c:v>
                </c:pt>
                <c:pt idx="10">
                  <c:v>39</c:v>
                </c:pt>
                <c:pt idx="11">
                  <c:v>31</c:v>
                </c:pt>
              </c:numCache>
            </c:numRef>
          </c:val>
          <c:extLst>
            <c:ext xmlns:c16="http://schemas.microsoft.com/office/drawing/2014/chart" uri="{C3380CC4-5D6E-409C-BE32-E72D297353CC}">
              <c16:uniqueId val="{00000000-3228-49DC-B1BD-E931205E5264}"/>
            </c:ext>
          </c:extLst>
        </c:ser>
        <c:ser>
          <c:idx val="1"/>
          <c:order val="1"/>
          <c:tx>
            <c:strRef>
              <c:f>'per day activity duration'!$C$3</c:f>
              <c:strCache>
                <c:ptCount val="1"/>
                <c:pt idx="0">
                  <c:v>Count of Inactive duration (ms)</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'per day activity duration'!$A$4:$A$16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'per day activity duration'!$C$4:$C$16</c:f>
              <c:numCache>
                <c:formatCode>General</c:formatCode>
                <c:ptCount val="12"/>
                <c:pt idx="0">
                  <c:v>1</c:v>
                </c:pt>
                <c:pt idx="2">
                  <c:v>3</c:v>
                </c:pt>
              </c:numCache>
            </c:numRef>
          </c:val>
          <c:extLst>
            <c:ext xmlns:c16="http://schemas.microsoft.com/office/drawing/2014/chart" uri="{C3380CC4-5D6E-409C-BE32-E72D297353CC}">
              <c16:uniqueId val="{00000001-3228-49DC-B1BD-E931205E5264}"/>
            </c:ext>
          </c:extLst>
        </c:ser>
        <c:ser>
          <c:idx val="2"/>
          <c:order val="2"/>
          <c:tx>
            <c:strRef>
              <c:f>'per day activity duration'!$D$3</c:f>
              <c:strCache>
                <c:ptCount val="1"/>
                <c:pt idx="0">
                  <c:v>Count of Yoga duration (ms)</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'per day activity duration'!$A$4:$A$16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'per day activity duration'!$D$4:$D$16</c:f>
              <c:numCache>
                <c:formatCode>General</c:formatCode>
                <c:ptCount val="12"/>
                <c:pt idx="2">
                  <c:v>1</c:v>
                </c:pt>
              </c:numCache>
            </c:numRef>
          </c:val>
          <c:extLst>
            <c:ext xmlns:c16="http://schemas.microsoft.com/office/drawing/2014/chart" uri="{C3380CC4-5D6E-409C-BE32-E72D297353CC}">
              <c16:uniqueId val="{00000002-3228-49DC-B1BD-E931205E5264}"/>
            </c:ext>
          </c:extLst>
        </c:ser>
        <c:ser>
          <c:idx val="3"/>
          <c:order val="3"/>
          <c:tx>
            <c:strRef>
              <c:f>'per day activity duration'!$E$3</c:f>
              <c:strCache>
                <c:ptCount val="1"/>
                <c:pt idx="0">
                  <c:v>Count of P90x duration (ms)</c:v>
                </c:pt>
              </c:strCache>
            </c:strRef>
          </c:tx>
          <c:spPr>
            <a:solidFill>
              <a:schemeClr val="accent2">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'per day activity duration'!$A$4:$A$16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'per day activity duration'!$E$4:$E$16</c:f>
              <c:numCache>
                <c:formatCode>General</c:formatCode>
                <c:ptCount val="12"/>
                <c:pt idx="2">
                  <c:v>3</c:v>
                </c:pt>
              </c:numCache>
            </c:numRef>
          </c:val>
          <c:extLst>
            <c:ext xmlns:c16="http://schemas.microsoft.com/office/drawing/2014/chart" uri="{C3380CC4-5D6E-409C-BE32-E72D297353CC}">
              <c16:uniqueId val="{00000003-3228-49DC-B1BD-E931205E5264}"/>
            </c:ext>
          </c:extLst>
        </c:ser>
        <c:ser>
          <c:idx val="4"/>
          <c:order val="4"/>
          <c:tx>
            <c:strRef>
              <c:f>'per day activity duration'!$F$3</c:f>
              <c:strCache>
                <c:ptCount val="1"/>
                <c:pt idx="0">
                  <c:v>Count of Other duration (ms)</c:v>
                </c:pt>
              </c:strCache>
            </c:strRef>
          </c:tx>
          <c:spPr>
            <a:solidFill>
              <a:schemeClr val="accent4">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'per day activity duration'!$A$4:$A$16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'per day activity duration'!$F$4:$F$16</c:f>
              <c:numCache>
                <c:formatCode>General</c:formatCode>
                <c:ptCount val="12"/>
                <c:pt idx="2">
                  <c:v>15</c:v>
                </c:pt>
                <c:pt idx="3">
                  <c:v>2</c:v>
                </c:pt>
              </c:numCache>
            </c:numRef>
          </c:val>
          <c:extLst>
            <c:ext xmlns:c16="http://schemas.microsoft.com/office/drawing/2014/chart" uri="{C3380CC4-5D6E-409C-BE32-E72D297353CC}">
              <c16:uniqueId val="{00000004-3228-49DC-B1BD-E931205E5264}"/>
            </c:ext>
          </c:extLst>
        </c:ser>
        <c:ser>
          <c:idx val="5"/>
          <c:order val="5"/>
          <c:tx>
            <c:strRef>
              <c:f>'per day activity duration'!$G$3</c:f>
              <c:strCache>
                <c:ptCount val="1"/>
                <c:pt idx="0">
                  <c:v>Count of Walking duration (ms)</c:v>
                </c:pt>
              </c:strCache>
            </c:strRef>
          </c:tx>
          <c:spPr>
            <a:solidFill>
              <a:schemeClr val="accent6">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'per day activity duration'!$A$4:$A$16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'per day activity duration'!$G$4:$G$16</c:f>
              <c:numCache>
                <c:formatCode>General</c:formatCode>
                <c:ptCount val="12"/>
                <c:pt idx="0">
                  <c:v>58</c:v>
                </c:pt>
                <c:pt idx="1">
                  <c:v>57</c:v>
                </c:pt>
                <c:pt idx="2">
                  <c:v>61</c:v>
                </c:pt>
                <c:pt idx="3">
                  <c:v>41</c:v>
                </c:pt>
                <c:pt idx="4">
                  <c:v>31</c:v>
                </c:pt>
                <c:pt idx="5">
                  <c:v>29</c:v>
                </c:pt>
                <c:pt idx="6">
                  <c:v>31</c:v>
                </c:pt>
                <c:pt idx="7">
                  <c:v>31</c:v>
                </c:pt>
                <c:pt idx="8">
                  <c:v>30</c:v>
                </c:pt>
                <c:pt idx="9">
                  <c:v>46</c:v>
                </c:pt>
                <c:pt idx="10">
                  <c:v>59</c:v>
                </c:pt>
                <c:pt idx="11">
                  <c:v>55</c:v>
                </c:pt>
              </c:numCache>
            </c:numRef>
          </c:val>
          <c:extLst>
            <c:ext xmlns:c16="http://schemas.microsoft.com/office/drawing/2014/chart" uri="{C3380CC4-5D6E-409C-BE32-E72D297353CC}">
              <c16:uniqueId val="{00000005-3228-49DC-B1BD-E931205E5264}"/>
            </c:ext>
          </c:extLst>
        </c:ser>
        <c:ser>
          <c:idx val="6"/>
          <c:order val="6"/>
          <c:tx>
            <c:strRef>
              <c:f>'per day activity duration'!$H$3</c:f>
              <c:strCache>
                <c:ptCount val="1"/>
                <c:pt idx="0">
                  <c:v>Count of Dancing duration (ms)</c:v>
                </c:pt>
              </c:strCache>
            </c:strRef>
          </c:tx>
          <c:spPr>
            <a:solidFill>
              <a:schemeClr val="accent2">
                <a:lumMod val="80000"/>
                <a:lumOff val="2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'per day activity duration'!$A$4:$A$16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'per day activity duration'!$H$4:$H$16</c:f>
              <c:numCache>
                <c:formatCode>General</c:formatCode>
                <c:ptCount val="12"/>
                <c:pt idx="2">
                  <c:v>1</c:v>
                </c:pt>
              </c:numCache>
            </c:numRef>
          </c:val>
          <c:extLst>
            <c:ext xmlns:c16="http://schemas.microsoft.com/office/drawing/2014/chart" uri="{C3380CC4-5D6E-409C-BE32-E72D297353CC}">
              <c16:uniqueId val="{00000006-3228-49DC-B1BD-E931205E5264}"/>
            </c:ext>
          </c:extLst>
        </c:ser>
        <c:ser>
          <c:idx val="7"/>
          <c:order val="7"/>
          <c:tx>
            <c:strRef>
              <c:f>'per day activity duration'!$I$3</c:f>
              <c:strCache>
                <c:ptCount val="1"/>
                <c:pt idx="0">
                  <c:v>Count of Running duration (ms)</c:v>
                </c:pt>
              </c:strCache>
            </c:strRef>
          </c:tx>
          <c:spPr>
            <a:solidFill>
              <a:schemeClr val="accent4">
                <a:lumMod val="80000"/>
                <a:lumOff val="2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'per day activity duration'!$A$4:$A$16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'per day activity duration'!$I$4:$I$16</c:f>
              <c:numCache>
                <c:formatCode>General</c:formatCode>
                <c:ptCount val="12"/>
                <c:pt idx="0">
                  <c:v>8</c:v>
                </c:pt>
                <c:pt idx="1">
                  <c:v>5</c:v>
                </c:pt>
                <c:pt idx="2">
                  <c:v>5</c:v>
                </c:pt>
                <c:pt idx="3">
                  <c:v>3</c:v>
                </c:pt>
                <c:pt idx="4">
                  <c:v>1</c:v>
                </c:pt>
                <c:pt idx="7">
                  <c:v>3</c:v>
                </c:pt>
                <c:pt idx="8">
                  <c:v>2</c:v>
                </c:pt>
                <c:pt idx="9">
                  <c:v>5</c:v>
                </c:pt>
                <c:pt idx="10">
                  <c:v>6</c:v>
                </c:pt>
                <c:pt idx="11">
                  <c:v>2</c:v>
                </c:pt>
              </c:numCache>
            </c:numRef>
          </c:val>
          <c:extLst>
            <c:ext xmlns:c16="http://schemas.microsoft.com/office/drawing/2014/chart" uri="{C3380CC4-5D6E-409C-BE32-E72D297353CC}">
              <c16:uniqueId val="{00000007-3228-49DC-B1BD-E931205E5264}"/>
            </c:ext>
          </c:extLst>
        </c:ser>
        <c:dLbls>
          <c:dLblPos val="ctr"/>
          <c:showLegendKey val="0"/>
          <c:showVal val="1"/>
          <c:showCatName val="0"/>
          <c:showSerName val="0"/>
          <c:showPercent val="0"/>
          <c:showBubbleSize val="0"/>
        </c:dLbls>
        <c:gapWidth val="150"/>
        <c:overlap val="100"/>
        <c:axId val="1975055583"/>
        <c:axId val="1975053087"/>
      </c:barChart>
      <c:catAx>
        <c:axId val="197505558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Months</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75053087"/>
        <c:crosses val="autoZero"/>
        <c:auto val="1"/>
        <c:lblAlgn val="ctr"/>
        <c:lblOffset val="100"/>
        <c:noMultiLvlLbl val="0"/>
      </c:catAx>
      <c:valAx>
        <c:axId val="197505308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Time</a:t>
                </a: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975055583"/>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3.xlsx]Steps over time!PivotTable4</c:name>
    <c:fmtId val="7"/>
  </c:pivotSource>
  <c:chart>
    <c:title>
      <c:layout>
        <c:manualLayout>
          <c:xMode val="edge"/>
          <c:yMode val="edge"/>
          <c:x val="0.42095451155853841"/>
          <c:y val="8.547202493060126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4.2384928394017869E-2"/>
          <c:y val="0.14214640677119972"/>
          <c:w val="0.62552126453991908"/>
          <c:h val="0.80578675864364213"/>
        </c:manualLayout>
      </c:layout>
      <c:doughnutChart>
        <c:varyColors val="1"/>
        <c:ser>
          <c:idx val="0"/>
          <c:order val="0"/>
          <c:tx>
            <c:strRef>
              <c:f>'Steps over time'!$B$3</c:f>
              <c:strCache>
                <c:ptCount val="1"/>
                <c:pt idx="0">
                  <c:v>Total</c:v>
                </c:pt>
              </c:strCache>
            </c:strRef>
          </c:tx>
          <c:explosion val="16"/>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AFF-4382-9EF6-A03572A1314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AFF-4382-9EF6-A03572A1314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AFF-4382-9EF6-A03572A1314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AFF-4382-9EF6-A03572A13146}"/>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AFF-4382-9EF6-A03572A13146}"/>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6AFF-4382-9EF6-A03572A13146}"/>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6AFF-4382-9EF6-A03572A13146}"/>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6AFF-4382-9EF6-A03572A13146}"/>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6AFF-4382-9EF6-A03572A13146}"/>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6AFF-4382-9EF6-A03572A13146}"/>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6AFF-4382-9EF6-A03572A13146}"/>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6AFF-4382-9EF6-A03572A1314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'Steps over time'!$A$4:$A$16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'Steps over time'!$B$4:$B$16</c:f>
              <c:numCache>
                <c:formatCode>General</c:formatCode>
                <c:ptCount val="12"/>
                <c:pt idx="0">
                  <c:v>341303</c:v>
                </c:pt>
                <c:pt idx="1">
                  <c:v>368451</c:v>
                </c:pt>
                <c:pt idx="2">
                  <c:v>384662</c:v>
                </c:pt>
                <c:pt idx="3">
                  <c:v>359714</c:v>
                </c:pt>
                <c:pt idx="4">
                  <c:v>121057</c:v>
                </c:pt>
                <c:pt idx="5">
                  <c:v>110105</c:v>
                </c:pt>
                <c:pt idx="6">
                  <c:v>140135</c:v>
                </c:pt>
                <c:pt idx="7">
                  <c:v>243850</c:v>
                </c:pt>
                <c:pt idx="8">
                  <c:v>209464</c:v>
                </c:pt>
                <c:pt idx="9">
                  <c:v>245454</c:v>
                </c:pt>
                <c:pt idx="10">
                  <c:v>368896</c:v>
                </c:pt>
                <c:pt idx="11">
                  <c:v>205431</c:v>
                </c:pt>
              </c:numCache>
            </c:numRef>
          </c:val>
          <c:extLst>
            <c:ext xmlns:c16="http://schemas.microsoft.com/office/drawing/2014/chart" uri="{C3380CC4-5D6E-409C-BE32-E72D297353CC}">
              <c16:uniqueId val="{00000018-6AFF-4382-9EF6-A03572A1314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3.xlsx]Speed Trend!PivotTable6</c:name>
    <c:fmtId val="3"/>
  </c:pivotSource>
  <c:chart>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'Speed Trend'!$B$3</c:f>
              <c:strCache>
                <c:ptCount val="1"/>
                <c:pt idx="0">
                  <c:v>Average of Max speed (m/s)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'Speed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'Speed Trend'!$B$4:$B$16</c:f>
              <c:numCache>
                <c:formatCode>General</c:formatCode>
                <c:ptCount val="12"/>
                <c:pt idx="0">
                  <c:v>1.5686314169450697</c:v>
                </c:pt>
                <c:pt idx="1">
                  <c:v>1.6411147464320568</c:v>
                </c:pt>
                <c:pt idx="2">
                  <c:v>2.1445471438054189</c:v>
                </c:pt>
                <c:pt idx="3">
                  <c:v>2.0883748089924512</c:v>
                </c:pt>
                <c:pt idx="4">
                  <c:v>1.458843667016761</c:v>
                </c:pt>
                <c:pt idx="5">
                  <c:v>1.438268128467705</c:v>
                </c:pt>
                <c:pt idx="6">
                  <c:v>1.4644626956721176</c:v>
                </c:pt>
                <c:pt idx="7">
                  <c:v>1.5534410844621094</c:v>
                </c:pt>
                <c:pt idx="8">
                  <c:v>1.6309003035246723</c:v>
                </c:pt>
                <c:pt idx="9">
                  <c:v>1.6162992926194357</c:v>
                </c:pt>
                <c:pt idx="10">
                  <c:v>1.6421406047081317</c:v>
                </c:pt>
                <c:pt idx="11">
                  <c:v>1.484003748192662</c:v>
                </c:pt>
              </c:numCache>
            </c:numRef>
          </c:val>
          <c:smooth val="0"/>
          <c:extLst>
            <c:ext xmlns:c16="http://schemas.microsoft.com/office/drawing/2014/chart" uri="{C3380CC4-5D6E-409C-BE32-E72D297353CC}">
              <c16:uniqueId val="{00000000-D229-4329-A7FA-D48698BF8031}"/>
            </c:ext>
          </c:extLst>
        </c:ser>
        <c:ser>
          <c:idx val="1"/>
          <c:order val="1"/>
          <c:tx>
            <c:strRef>
              <c:f>'Speed Trend'!$C$3</c:f>
              <c:strCache>
                <c:ptCount val="1"/>
                <c:pt idx="0">
                  <c:v>Average of Min speed (m/s)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'Speed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'Speed Trend'!$C$4:$C$16</c:f>
              <c:numCache>
                <c:formatCode>General</c:formatCode>
                <c:ptCount val="12"/>
                <c:pt idx="0">
                  <c:v>0.25879578399694675</c:v>
                </c:pt>
                <c:pt idx="1">
                  <c:v>0.25597075296159699</c:v>
                </c:pt>
                <c:pt idx="2">
                  <c:v>0.22410385522495538</c:v>
                </c:pt>
                <c:pt idx="3">
                  <c:v>0.221620294985484</c:v>
                </c:pt>
                <c:pt idx="4">
                  <c:v>0.26501704879364546</c:v>
                </c:pt>
                <c:pt idx="5">
                  <c:v>0.27339511334506006</c:v>
                </c:pt>
                <c:pt idx="6">
                  <c:v>0.25990543419657652</c:v>
                </c:pt>
                <c:pt idx="7">
                  <c:v>0.25892519906390293</c:v>
                </c:pt>
                <c:pt idx="8">
                  <c:v>0.26669466247540002</c:v>
                </c:pt>
                <c:pt idx="9">
                  <c:v>0.26229245852838956</c:v>
                </c:pt>
                <c:pt idx="10">
                  <c:v>0.26093907707182146</c:v>
                </c:pt>
                <c:pt idx="11">
                  <c:v>0.2647927217720849</c:v>
                </c:pt>
              </c:numCache>
            </c:numRef>
          </c:val>
          <c:smooth val="0"/>
          <c:extLst>
            <c:ext xmlns:c16="http://schemas.microsoft.com/office/drawing/2014/chart" uri="{C3380CC4-5D6E-409C-BE32-E72D297353CC}">
              <c16:uniqueId val="{00000001-D229-4329-A7FA-D48698BF8031}"/>
            </c:ext>
          </c:extLst>
        </c:ser>
        <c:dLbls>
          <c:showLegendKey val="0"/>
          <c:showVal val="0"/>
          <c:showCatName val="0"/>
          <c:showSerName val="0"/>
          <c:showPercent val="0"/>
          <c:showBubbleSize val="0"/>
        </c:dLbls>
        <c:marker val="1"/>
        <c:smooth val="0"/>
        <c:axId val="1965169455"/>
        <c:axId val="1965170287"/>
      </c:lineChart>
      <c:catAx>
        <c:axId val="1965169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170287"/>
        <c:crosses val="autoZero"/>
        <c:auto val="1"/>
        <c:lblAlgn val="ctr"/>
        <c:lblOffset val="100"/>
        <c:noMultiLvlLbl val="0"/>
      </c:catAx>
      <c:valAx>
        <c:axId val="1965170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16945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27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3.xlsx]Sheet12!PivotTable11</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goal</a:t>
            </a:r>
            <a:r>
              <a:rPr lang="en-US" baseline="0"/>
              <a:t> points</a:t>
            </a:r>
          </a:p>
          <a:p>
            <a:pPr>
              <a:defRPr/>
            </a:pPr>
            <a:endParaRPr lang="en-US"/>
          </a:p>
        </c:rich>
      </c:tx>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lineChart>
        <c:grouping val="stacked"/>
        <c:varyColors val="0"/>
        <c:ser>
          <c:idx val="0"/>
          <c:order val="0"/>
          <c:tx>
            <c:strRef>
              <c:f>Sheet12!$B$3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Sheet12!$A$4:$A$16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Sheet12!$B$4:$B$16</c:f>
              <c:numCache>
                <c:formatCode>General</c:formatCode>
                <c:ptCount val="12"/>
                <c:pt idx="0">
                  <c:v>52</c:v>
                </c:pt>
                <c:pt idx="1">
                  <c:v>56</c:v>
                </c:pt>
                <c:pt idx="2">
                  <c:v>57</c:v>
                </c:pt>
                <c:pt idx="3">
                  <c:v>41</c:v>
                </c:pt>
                <c:pt idx="4">
                  <c:v>23</c:v>
                </c:pt>
                <c:pt idx="5">
                  <c:v>25</c:v>
                </c:pt>
                <c:pt idx="6">
                  <c:v>20</c:v>
                </c:pt>
                <c:pt idx="7">
                  <c:v>30</c:v>
                </c:pt>
                <c:pt idx="8">
                  <c:v>30</c:v>
                </c:pt>
                <c:pt idx="9">
                  <c:v>41</c:v>
                </c:pt>
                <c:pt idx="10">
                  <c:v>55</c:v>
                </c:pt>
                <c:pt idx="11">
                  <c:v>48</c:v>
                </c:pt>
              </c:numCache>
            </c:numRef>
          </c:val>
          <c:smooth val="0"/>
          <c:extLst>
            <c:ext xmlns:c16="http://schemas.microsoft.com/office/drawing/2014/chart" uri="{C3380CC4-5D6E-409C-BE32-E72D297353CC}">
              <c16:uniqueId val="{00000000-D48F-43EF-9008-3D4EE2324226}"/>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975050591"/>
        <c:axId val="1975054751"/>
      </c:lineChart>
      <c:catAx>
        <c:axId val="197505059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975054751"/>
        <c:crosses val="autoZero"/>
        <c:auto val="1"/>
        <c:lblAlgn val="ctr"/>
        <c:lblOffset val="100"/>
        <c:noMultiLvlLbl val="0"/>
      </c:catAx>
      <c:valAx>
        <c:axId val="19750547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7505059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chart>
  <c:spPr>
    <a:gradFill>
      <a:gsLst>
        <a:gs pos="0">
          <a:schemeClr val="bg1">
            <a:lumMod val="75000"/>
          </a:schemeClr>
        </a:gs>
        <a:gs pos="54000">
          <a:schemeClr val="accent1">
            <a:lumMod val="45000"/>
            <a:lumOff val="55000"/>
          </a:schemeClr>
        </a:gs>
        <a:gs pos="81000">
          <a:schemeClr val="accent1">
            <a:lumMod val="45000"/>
            <a:lumOff val="55000"/>
          </a:schemeClr>
        </a:gs>
        <a:gs pos="100000">
          <a:schemeClr val="accent1">
            <a:lumMod val="30000"/>
            <a:lumOff val="70000"/>
          </a:schemeClr>
        </a:gs>
      </a:gsLst>
      <a:lin ang="5400000" scaled="1"/>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Sheet9!$F$1</c:f>
              <c:strCache>
                <c:ptCount val="1"/>
                <c:pt idx="0">
                  <c:v>calories burned</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Sheet9!$E$2:$E$8</c:f>
              <c:strCache>
                <c:ptCount val="7"/>
                <c:pt idx="0">
                  <c:v>Walking </c:v>
                </c:pt>
                <c:pt idx="1">
                  <c:v>Cycling</c:v>
                </c:pt>
                <c:pt idx="2">
                  <c:v>Yoga</c:v>
                </c:pt>
                <c:pt idx="3">
                  <c:v>Workout</c:v>
                </c:pt>
                <c:pt idx="4">
                  <c:v>Dancing</c:v>
                </c:pt>
                <c:pt idx="5">
                  <c:v>Swimming</c:v>
                </c:pt>
                <c:pt idx="6">
                  <c:v>Running</c:v>
                </c:pt>
              </c:strCache>
            </c:strRef>
          </c:cat>
          <c:val>
            <c:numRef>
              <c:f>Sheet9!$F$2:$F$8</c:f>
              <c:numCache>
                <c:formatCode>General</c:formatCode>
                <c:ptCount val="7"/>
                <c:pt idx="0">
                  <c:v>200</c:v>
                </c:pt>
                <c:pt idx="1">
                  <c:v>300</c:v>
                </c:pt>
                <c:pt idx="2">
                  <c:v>50</c:v>
                </c:pt>
                <c:pt idx="3">
                  <c:v>266.66666666666669</c:v>
                </c:pt>
                <c:pt idx="4">
                  <c:v>83.333333333333343</c:v>
                </c:pt>
                <c:pt idx="5">
                  <c:v>300</c:v>
                </c:pt>
                <c:pt idx="6">
                  <c:v>400</c:v>
                </c:pt>
              </c:numCache>
            </c:numRef>
          </c:val>
          <c:extLst>
            <c:ext xmlns:c16="http://schemas.microsoft.com/office/drawing/2014/chart" uri="{C3380CC4-5D6E-409C-BE32-E72D297353CC}">
              <c16:uniqueId val="{00000000-71AB-4332-98D8-3917379D7916}"/>
            </c:ext>
          </c:extLst>
        </c:ser>
        <c:dLbls>
          <c:dLblPos val="inEnd"/>
          <c:showLegendKey val="0"/>
          <c:showVal val="1"/>
          <c:showCatName val="0"/>
          <c:showSerName val="0"/>
          <c:showPercent val="0"/>
          <c:showBubbleSize val="0"/>
        </c:dLbls>
        <c:gapWidth val="65"/>
        <c:axId val="548928911"/>
        <c:axId val="548926415"/>
      </c:barChart>
      <c:catAx>
        <c:axId val="54892891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48926415"/>
        <c:crosses val="autoZero"/>
        <c:auto val="1"/>
        <c:lblAlgn val="ctr"/>
        <c:lblOffset val="100"/>
        <c:noMultiLvlLbl val="0"/>
      </c:catAx>
      <c:valAx>
        <c:axId val="54892641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48928911"/>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1.png"/><Relationship Id="rId5" Type="http://schemas.openxmlformats.org/officeDocument/2006/relationships/chart" Target="../charts/chart8.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1188720</xdr:colOff>
      <xdr:row>15</xdr:row>
      <xdr:rowOff>167640</xdr:rowOff>
    </xdr:from>
    <xdr:to>
      <xdr:col>4</xdr:col>
      <xdr:colOff>274320</xdr:colOff>
      <xdr:row>30</xdr:row>
      <xdr:rowOff>167640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160020</xdr:colOff>
      <xdr:row>1</xdr:row>
      <xdr:rowOff>106680</xdr:rowOff>
    </xdr:from>
    <xdr:to>
      <xdr:col>9</xdr:col>
      <xdr:colOff>464820</xdr:colOff>
      <xdr:row>19</xdr:row>
      <xdr:rowOff>68580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121920</xdr:colOff>
      <xdr:row>1</xdr:row>
      <xdr:rowOff>160020</xdr:rowOff>
    </xdr:from>
    <xdr:to>
      <xdr:col>7</xdr:col>
      <xdr:colOff>464820</xdr:colOff>
      <xdr:row>16</xdr:row>
      <xdr:rowOff>160020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449580</xdr:colOff>
      <xdr:row>4</xdr:row>
      <xdr:rowOff>38100</xdr:rowOff>
    </xdr:from>
    <xdr:to>
      <xdr:col>10</xdr:col>
      <xdr:colOff>144780</xdr:colOff>
      <xdr:row>19</xdr:row>
      <xdr:rowOff>38100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457200</xdr:colOff>
      <xdr:row>19</xdr:row>
      <xdr:rowOff>30480</xdr:rowOff>
    </xdr:from>
    <xdr:to>
      <xdr:col>15</xdr:col>
      <xdr:colOff>373380</xdr:colOff>
      <xdr:row>32</xdr:row>
      <xdr:rowOff>114300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144780</xdr:colOff>
      <xdr:row>4</xdr:row>
      <xdr:rowOff>30480</xdr:rowOff>
    </xdr:from>
    <xdr:to>
      <xdr:col>15</xdr:col>
      <xdr:colOff>388620</xdr:colOff>
      <xdr:row>19</xdr:row>
      <xdr:rowOff>38100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396240</xdr:colOff>
      <xdr:row>4</xdr:row>
      <xdr:rowOff>22860</xdr:rowOff>
    </xdr:from>
    <xdr:to>
      <xdr:col>23</xdr:col>
      <xdr:colOff>91440</xdr:colOff>
      <xdr:row>19</xdr:row>
      <xdr:rowOff>22860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xdr:row>
      <xdr:rowOff>7620</xdr:rowOff>
    </xdr:from>
    <xdr:to>
      <xdr:col>2</xdr:col>
      <xdr:colOff>457200</xdr:colOff>
      <xdr:row>23</xdr:row>
      <xdr:rowOff>53340</xdr:rowOff>
    </xdr:to>
    <mc:AlternateContent xmlns:mc="http://schemas.openxmlformats.org/markup-compatibility/2006" xmlns:a14="http://schemas.microsoft.com/office/drawing/2010/main">
      <mc:Choice Requires="a14">
        <xdr:graphicFrame macro="">
          <xdr:nvGraphicFramePr>
            <xdr:cNvPr id="6" name="Date"/>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0" y="739140"/>
              <a:ext cx="1676400" cy="3520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373380</xdr:colOff>
      <xdr:row>19</xdr:row>
      <xdr:rowOff>30480</xdr:rowOff>
    </xdr:from>
    <xdr:to>
      <xdr:col>23</xdr:col>
      <xdr:colOff>68580</xdr:colOff>
      <xdr:row>32</xdr:row>
      <xdr:rowOff>175260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22860</xdr:colOff>
      <xdr:row>0</xdr:row>
      <xdr:rowOff>83820</xdr:rowOff>
    </xdr:from>
    <xdr:to>
      <xdr:col>16</xdr:col>
      <xdr:colOff>106680</xdr:colOff>
      <xdr:row>3</xdr:row>
      <xdr:rowOff>114300</xdr:rowOff>
    </xdr:to>
    <xdr:sp macro="" textlink="">
      <xdr:nvSpPr>
        <xdr:cNvPr id="9" name="Rounded Rectangle 8"/>
        <xdr:cNvSpPr/>
      </xdr:nvSpPr>
      <xdr:spPr>
        <a:xfrm>
          <a:off x="8557260" y="83820"/>
          <a:ext cx="1303020" cy="579120"/>
        </a:xfrm>
        <a:prstGeom prst="roundRect">
          <a:avLst/>
        </a:prstGeom>
        <a:gradFill flip="none" rotWithShape="1">
          <a:gsLst>
            <a:gs pos="0">
              <a:schemeClr val="bg1">
                <a:lumMod val="75000"/>
                <a:shade val="30000"/>
                <a:satMod val="115000"/>
              </a:schemeClr>
            </a:gs>
            <a:gs pos="50000">
              <a:schemeClr val="bg1">
                <a:lumMod val="75000"/>
                <a:shade val="67500"/>
                <a:satMod val="115000"/>
              </a:schemeClr>
            </a:gs>
            <a:gs pos="100000">
              <a:schemeClr val="bg1">
                <a:lumMod val="75000"/>
                <a:shade val="100000"/>
                <a:satMod val="115000"/>
              </a:schemeClr>
            </a:gs>
          </a:gsLst>
          <a:lin ang="27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rgbClr val="FFFF00"/>
              </a:solidFill>
              <a:latin typeface="Arial Black" panose="020B0A04020102020204" pitchFamily="34" charset="0"/>
            </a:rPr>
            <a:t>STEP COUNT</a:t>
          </a:r>
        </a:p>
        <a:p>
          <a:pPr algn="ctr"/>
          <a:r>
            <a:rPr lang="en-US" sz="1100" b="0" i="0" u="none" strike="noStrike">
              <a:solidFill>
                <a:srgbClr val="FFFF00"/>
              </a:solidFill>
              <a:effectLst/>
              <a:latin typeface="Arial Black" panose="020B0A04020102020204" pitchFamily="34" charset="0"/>
              <a:ea typeface="+mn-ea"/>
              <a:cs typeface="+mn-cs"/>
            </a:rPr>
            <a:t>3098522</a:t>
          </a:r>
          <a:r>
            <a:rPr lang="en-US">
              <a:solidFill>
                <a:srgbClr val="FFFF00"/>
              </a:solidFill>
              <a:latin typeface="Arial Black" panose="020B0A04020102020204" pitchFamily="34" charset="0"/>
            </a:rPr>
            <a:t> </a:t>
          </a:r>
          <a:endParaRPr lang="en-US" sz="1100">
            <a:solidFill>
              <a:srgbClr val="FFFF00"/>
            </a:solidFill>
            <a:latin typeface="Arial Black" panose="020B0A04020102020204" pitchFamily="34" charset="0"/>
          </a:endParaRPr>
        </a:p>
      </xdr:txBody>
    </xdr:sp>
    <xdr:clientData/>
  </xdr:twoCellAnchor>
  <xdr:twoCellAnchor>
    <xdr:from>
      <xdr:col>1</xdr:col>
      <xdr:colOff>381000</xdr:colOff>
      <xdr:row>0</xdr:row>
      <xdr:rowOff>30480</xdr:rowOff>
    </xdr:from>
    <xdr:to>
      <xdr:col>13</xdr:col>
      <xdr:colOff>373380</xdr:colOff>
      <xdr:row>3</xdr:row>
      <xdr:rowOff>160020</xdr:rowOff>
    </xdr:to>
    <xdr:sp macro="" textlink="">
      <xdr:nvSpPr>
        <xdr:cNvPr id="15" name="Rounded Rectangle 14"/>
        <xdr:cNvSpPr/>
      </xdr:nvSpPr>
      <xdr:spPr>
        <a:xfrm>
          <a:off x="990600" y="30480"/>
          <a:ext cx="7307580" cy="678180"/>
        </a:xfrm>
        <a:prstGeom prst="round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28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GOOGLE FIT DATA ANALYSIS</a:t>
          </a:r>
        </a:p>
      </xdr:txBody>
    </xdr:sp>
    <xdr:clientData/>
  </xdr:twoCellAnchor>
  <xdr:twoCellAnchor editAs="oneCell">
    <xdr:from>
      <xdr:col>0</xdr:col>
      <xdr:colOff>8835</xdr:colOff>
      <xdr:row>0</xdr:row>
      <xdr:rowOff>0</xdr:rowOff>
    </xdr:from>
    <xdr:to>
      <xdr:col>1</xdr:col>
      <xdr:colOff>285217</xdr:colOff>
      <xdr:row>4</xdr:row>
      <xdr:rowOff>12493</xdr:rowOff>
    </xdr:to>
    <xdr:pic>
      <xdr:nvPicPr>
        <xdr:cNvPr id="19" name="Picture 18"/>
        <xdr:cNvPicPr>
          <a:picLocks noChangeAspect="1"/>
        </xdr:cNvPicPr>
      </xdr:nvPicPr>
      <xdr:blipFill>
        <a:blip xmlns:r="http://schemas.openxmlformats.org/officeDocument/2006/relationships" r:embed="rId6"/>
        <a:stretch>
          <a:fillRect/>
        </a:stretch>
      </xdr:blipFill>
      <xdr:spPr>
        <a:xfrm>
          <a:off x="8835" y="0"/>
          <a:ext cx="885982" cy="744013"/>
        </a:xfrm>
        <a:prstGeom prst="rect">
          <a:avLst/>
        </a:prstGeom>
      </xdr:spPr>
    </xdr:pic>
    <xdr:clientData/>
  </xdr:twoCellAnchor>
  <xdr:twoCellAnchor>
    <xdr:from>
      <xdr:col>20</xdr:col>
      <xdr:colOff>342900</xdr:colOff>
      <xdr:row>0</xdr:row>
      <xdr:rowOff>91440</xdr:rowOff>
    </xdr:from>
    <xdr:to>
      <xdr:col>22</xdr:col>
      <xdr:colOff>426720</xdr:colOff>
      <xdr:row>3</xdr:row>
      <xdr:rowOff>121920</xdr:rowOff>
    </xdr:to>
    <xdr:sp macro="" textlink="">
      <xdr:nvSpPr>
        <xdr:cNvPr id="28" name="Rounded Rectangle 27"/>
        <xdr:cNvSpPr/>
      </xdr:nvSpPr>
      <xdr:spPr>
        <a:xfrm>
          <a:off x="12534900" y="91440"/>
          <a:ext cx="1303020" cy="579120"/>
        </a:xfrm>
        <a:prstGeom prst="roundRect">
          <a:avLst/>
        </a:prstGeom>
        <a:gradFill flip="none" rotWithShape="1">
          <a:gsLst>
            <a:gs pos="0">
              <a:schemeClr val="bg1">
                <a:lumMod val="75000"/>
                <a:shade val="30000"/>
                <a:satMod val="115000"/>
              </a:schemeClr>
            </a:gs>
            <a:gs pos="50000">
              <a:schemeClr val="bg1">
                <a:lumMod val="75000"/>
                <a:shade val="67500"/>
                <a:satMod val="115000"/>
              </a:schemeClr>
            </a:gs>
            <a:gs pos="100000">
              <a:schemeClr val="bg1">
                <a:lumMod val="75000"/>
                <a:shade val="100000"/>
                <a:satMod val="115000"/>
              </a:schemeClr>
            </a:gs>
          </a:gsLst>
          <a:lin ang="27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rgbClr val="FFFF00"/>
              </a:solidFill>
              <a:latin typeface="Arial Black" panose="020B0A04020102020204" pitchFamily="34" charset="0"/>
            </a:rPr>
            <a:t>DISTANCE</a:t>
          </a:r>
        </a:p>
        <a:p>
          <a:pPr algn="ctr"/>
          <a:r>
            <a:rPr lang="en-US" sz="1100" b="0" i="0" u="none" strike="noStrike">
              <a:solidFill>
                <a:srgbClr val="FFFF00"/>
              </a:solidFill>
              <a:effectLst/>
              <a:latin typeface="Arial Black" panose="020B0A04020102020204" pitchFamily="34" charset="0"/>
              <a:ea typeface="+mn-ea"/>
              <a:cs typeface="+mn-cs"/>
            </a:rPr>
            <a:t>3817.118221</a:t>
          </a:r>
          <a:r>
            <a:rPr lang="en-US"/>
            <a:t> </a:t>
          </a:r>
          <a:endParaRPr lang="en-US" sz="1100">
            <a:solidFill>
              <a:srgbClr val="FFFF00"/>
            </a:solidFill>
            <a:latin typeface="Arial Black" panose="020B0A04020102020204" pitchFamily="34" charset="0"/>
          </a:endParaRPr>
        </a:p>
      </xdr:txBody>
    </xdr:sp>
    <xdr:clientData/>
  </xdr:twoCellAnchor>
  <xdr:twoCellAnchor>
    <xdr:from>
      <xdr:col>16</xdr:col>
      <xdr:colOff>563880</xdr:colOff>
      <xdr:row>0</xdr:row>
      <xdr:rowOff>91440</xdr:rowOff>
    </xdr:from>
    <xdr:to>
      <xdr:col>19</xdr:col>
      <xdr:colOff>571500</xdr:colOff>
      <xdr:row>3</xdr:row>
      <xdr:rowOff>121920</xdr:rowOff>
    </xdr:to>
    <xdr:sp macro="" textlink="">
      <xdr:nvSpPr>
        <xdr:cNvPr id="29" name="Rounded Rectangle 28"/>
        <xdr:cNvSpPr/>
      </xdr:nvSpPr>
      <xdr:spPr>
        <a:xfrm>
          <a:off x="10317480" y="91440"/>
          <a:ext cx="1836420" cy="579120"/>
        </a:xfrm>
        <a:prstGeom prst="roundRect">
          <a:avLst/>
        </a:prstGeom>
        <a:gradFill flip="none" rotWithShape="1">
          <a:gsLst>
            <a:gs pos="0">
              <a:schemeClr val="bg1">
                <a:lumMod val="75000"/>
                <a:shade val="30000"/>
                <a:satMod val="115000"/>
              </a:schemeClr>
            </a:gs>
            <a:gs pos="50000">
              <a:schemeClr val="bg1">
                <a:lumMod val="75000"/>
                <a:shade val="67500"/>
                <a:satMod val="115000"/>
              </a:schemeClr>
            </a:gs>
            <a:gs pos="100000">
              <a:schemeClr val="bg1">
                <a:lumMod val="75000"/>
                <a:shade val="100000"/>
                <a:satMod val="115000"/>
              </a:schemeClr>
            </a:gs>
          </a:gsLst>
          <a:lin ang="27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0" i="0" u="none" strike="noStrike" baseline="0">
              <a:solidFill>
                <a:srgbClr val="FFFF00"/>
              </a:solidFill>
              <a:effectLst/>
              <a:latin typeface="Arial Black" panose="020B0A04020102020204" pitchFamily="34" charset="0"/>
              <a:ea typeface="+mn-ea"/>
              <a:cs typeface="+mn-cs"/>
            </a:rPr>
            <a:t>CALORIES BURNED</a:t>
          </a:r>
        </a:p>
        <a:p>
          <a:pPr algn="ctr"/>
          <a:r>
            <a:rPr lang="en-US" sz="1100" b="0" i="0" u="none" strike="noStrike">
              <a:solidFill>
                <a:srgbClr val="FFFF00"/>
              </a:solidFill>
              <a:effectLst/>
              <a:latin typeface="Arial Black" panose="020B0A04020102020204" pitchFamily="34" charset="0"/>
              <a:ea typeface="+mn-ea"/>
              <a:cs typeface="+mn-cs"/>
            </a:rPr>
            <a:t>994692.612</a:t>
          </a:r>
          <a:r>
            <a:rPr lang="en-US">
              <a:solidFill>
                <a:srgbClr val="FFFF00"/>
              </a:solidFill>
              <a:latin typeface="Arial Black" panose="020B0A04020102020204" pitchFamily="34" charset="0"/>
            </a:rPr>
            <a:t> </a:t>
          </a:r>
          <a:endParaRPr lang="en-US" sz="1100">
            <a:solidFill>
              <a:srgbClr val="FFFF00"/>
            </a:solidFill>
            <a:latin typeface="Arial Black" panose="020B0A040201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342900</xdr:colOff>
      <xdr:row>1</xdr:row>
      <xdr:rowOff>45720</xdr:rowOff>
    </xdr:from>
    <xdr:to>
      <xdr:col>14</xdr:col>
      <xdr:colOff>38100</xdr:colOff>
      <xdr:row>16</xdr:row>
      <xdr:rowOff>45720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taXI" refreshedDate="45761.644117013886" createdVersion="6" refreshedVersion="6" minRefreshableVersion="3" recordCount="546">
  <cacheSource type="worksheet">
    <worksheetSource ref="A1:Y547" sheet="Daily activity metrics"/>
  </cacheSource>
  <cacheFields count="27">
    <cacheField name="Date" numFmtId="14">
      <sharedItems containsSemiMixedTypes="0" containsNonDate="0" containsDate="1" containsString="0" minDate="2023-10-15T00:00:00" maxDate="2025-04-13T00:00:00" count="546">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sharedItems>
      <fieldGroup par="26" base="0">
        <rangePr groupBy="months" startDate="2023-10-15T00:00:00" endDate="2025-04-13T00:00:00"/>
        <groupItems count="14">
          <s v="&lt;10/15/2023"/>
          <s v="Jan"/>
          <s v="Feb"/>
          <s v="Mar"/>
          <s v="Apr"/>
          <s v="May"/>
          <s v="Jun"/>
          <s v="Jul"/>
          <s v="Aug"/>
          <s v="Sep"/>
          <s v="Oct"/>
          <s v="Nov"/>
          <s v="Dec"/>
          <s v="&gt;4/13/2025"/>
        </groupItems>
      </fieldGroup>
    </cacheField>
    <cacheField name="Move Minutes count" numFmtId="0">
      <sharedItems containsString="0" containsBlank="1" containsNumber="1" containsInteger="1" minValue="1" maxValue="365" count="193">
        <n v="2"/>
        <n v="97"/>
        <n v="4"/>
        <n v="59"/>
        <n v="62"/>
        <n v="100"/>
        <n v="197"/>
        <n v="8"/>
        <n v="177"/>
        <n v="1"/>
        <n v="84"/>
        <n v="80"/>
        <n v="105"/>
        <n v="10"/>
        <n v="27"/>
        <n v="183"/>
        <n v="65"/>
        <n v="57"/>
        <n v="79"/>
        <n v="113"/>
        <n v="89"/>
        <n v="67"/>
        <n v="78"/>
        <n v="51"/>
        <n v="72"/>
        <n v="68"/>
        <n v="115"/>
        <n v="294"/>
        <n v="161"/>
        <n v="292"/>
        <n v="333"/>
        <n v="266"/>
        <n v="71"/>
        <n v="73"/>
        <n v="93"/>
        <n v="168"/>
        <n v="76"/>
        <n v="63"/>
        <n v="33"/>
        <n v="15"/>
        <n v="96"/>
        <n v="190"/>
        <n v="86"/>
        <n v="56"/>
        <n v="74"/>
        <m/>
        <n v="83"/>
        <n v="98"/>
        <n v="91"/>
        <n v="17"/>
        <n v="18"/>
        <n v="61"/>
        <n v="108"/>
        <n v="133"/>
        <n v="50"/>
        <n v="9"/>
        <n v="54"/>
        <n v="122"/>
        <n v="31"/>
        <n v="20"/>
        <n v="3"/>
        <n v="11"/>
        <n v="14"/>
        <n v="148"/>
        <n v="19"/>
        <n v="64"/>
        <n v="5"/>
        <n v="36"/>
        <n v="60"/>
        <n v="112"/>
        <n v="147"/>
        <n v="49"/>
        <n v="99"/>
        <n v="75"/>
        <n v="185"/>
        <n v="255"/>
        <n v="220"/>
        <n v="46"/>
        <n v="94"/>
        <n v="109"/>
        <n v="146"/>
        <n v="139"/>
        <n v="130"/>
        <n v="128"/>
        <n v="172"/>
        <n v="104"/>
        <n v="66"/>
        <n v="155"/>
        <n v="92"/>
        <n v="77"/>
        <n v="43"/>
        <n v="87"/>
        <n v="135"/>
        <n v="81"/>
        <n v="70"/>
        <n v="149"/>
        <n v="85"/>
        <n v="69"/>
        <n v="166"/>
        <n v="137"/>
        <n v="82"/>
        <n v="131"/>
        <n v="111"/>
        <n v="121"/>
        <n v="29"/>
        <n v="143"/>
        <n v="163"/>
        <n v="88"/>
        <n v="140"/>
        <n v="90"/>
        <n v="184"/>
        <n v="142"/>
        <n v="164"/>
        <n v="182"/>
        <n v="191"/>
        <n v="189"/>
        <n v="365"/>
        <n v="317"/>
        <n v="357"/>
        <n v="141"/>
        <n v="95"/>
        <n v="210"/>
        <n v="118"/>
        <n v="114"/>
        <n v="107"/>
        <n v="7"/>
        <n v="175"/>
        <n v="194"/>
        <n v="45"/>
        <n v="28"/>
        <n v="201"/>
        <n v="34"/>
        <n v="48"/>
        <n v="37"/>
        <n v="134"/>
        <n v="22"/>
        <n v="12"/>
        <n v="58"/>
        <n v="117"/>
        <n v="6"/>
        <n v="110"/>
        <n v="53"/>
        <n v="138"/>
        <n v="103"/>
        <n v="38"/>
        <n v="30"/>
        <n v="102"/>
        <n v="42"/>
        <n v="32"/>
        <n v="195"/>
        <n v="211"/>
        <n v="136"/>
        <n v="145"/>
        <n v="159"/>
        <n v="153"/>
        <n v="165"/>
        <n v="132"/>
        <n v="152"/>
        <n v="124"/>
        <n v="186"/>
        <n v="218"/>
        <n v="127"/>
        <n v="101"/>
        <n v="160"/>
        <n v="157"/>
        <n v="151"/>
        <n v="222"/>
        <n v="126"/>
        <n v="174"/>
        <n v="24"/>
        <n v="162"/>
        <n v="215"/>
        <n v="119"/>
        <n v="156"/>
        <n v="144"/>
        <n v="47"/>
        <n v="158"/>
        <n v="179"/>
        <n v="39"/>
        <n v="16"/>
        <n v="209"/>
        <n v="207"/>
        <n v="116"/>
        <n v="41"/>
        <n v="187"/>
        <n v="120"/>
        <n v="206"/>
        <n v="192"/>
        <n v="180"/>
        <n v="199"/>
        <n v="125"/>
        <n v="169"/>
        <n v="178"/>
      </sharedItems>
    </cacheField>
    <cacheField name="Calories (kcal)" numFmtId="0">
      <sharedItems containsSemiMixedTypes="0" containsString="0" containsNumber="1" minValue="779.67898530092498" maxValue="2474.3430017455298" count="532">
        <n v="779.67898530092498"/>
        <n v="1716.0952320573001"/>
        <n v="1608.67358088541"/>
        <n v="1725.42075345586"/>
        <n v="1758.0856077255501"/>
        <n v="1915.75333120304"/>
        <n v="2022.9197741021601"/>
        <n v="1591.52283721716"/>
        <n v="1991.2091660400899"/>
        <n v="1570.4646910850599"/>
        <n v="1815.9531662152699"/>
        <n v="1818.1564541960799"/>
        <n v="1892.2129275355401"/>
        <n v="1648.34400651909"/>
        <n v="1664.29948814201"/>
        <n v="2124.7890104882699"/>
        <n v="1756.5373321330301"/>
        <n v="1788.0297465407"/>
        <n v="1805.00692789801"/>
        <n v="1919.3680519739601"/>
        <n v="1838.5181288112699"/>
        <n v="1636.95213550925"/>
        <n v="1775.1477664384799"/>
        <n v="1863.06453281535"/>
        <n v="1749.9176114033501"/>
        <n v="1771.4330464438799"/>
        <n v="1795.1854466761299"/>
        <n v="1766.38928136251"/>
        <n v="1820.2447103351001"/>
        <n v="1753.58350459025"/>
        <n v="2178.6660208445001"/>
        <n v="1802.1271918836201"/>
        <n v="2082.5005150781699"/>
        <n v="2110.6426897695901"/>
        <n v="2324.7142734959398"/>
        <n v="1819.5288426811201"/>
        <n v="1838.2518493740899"/>
        <n v="1855.56715304112"/>
        <n v="1921.42458896734"/>
        <n v="1787.5341649460399"/>
        <n v="1783.5811329989499"/>
        <n v="1679.35999559984"/>
        <n v="1605.42287745311"/>
        <n v="1580.35448129618"/>
        <n v="1885.4399366120999"/>
        <n v="2191.7752687504599"/>
        <n v="1862.42731242529"/>
        <n v="1757.8330994806299"/>
        <n v="1856.0339507665799"/>
        <n v="1571.8793270543899"/>
        <n v="1807.2221864359001"/>
        <n v="1827.66225254289"/>
        <n v="1896.84503636316"/>
        <n v="1873.76079387392"/>
        <n v="1790.7264336481201"/>
        <n v="1627.56824170236"/>
        <n v="1565.74999999999"/>
        <n v="1718.37578100312"/>
        <n v="1769.5438569769599"/>
        <n v="1987.63723458507"/>
        <n v="1789.3489130261"/>
        <n v="2014.6985452387601"/>
        <n v="1790.4342239525399"/>
        <n v="1827.79593562789"/>
        <n v="1567.6352518460601"/>
        <n v="1738.5186353874799"/>
        <n v="1792.67991174244"/>
        <n v="1589.9014223582101"/>
        <n v="1691.9162140744299"/>
        <n v="1947.8273880407"/>
        <n v="1587.57743176658"/>
        <n v="1651.10684066061"/>
        <n v="1628.1225552053299"/>
        <n v="1565.75"/>
        <n v="1601.1661473957899"/>
        <n v="1586.23330217796"/>
        <n v="1595.13288129074"/>
        <n v="2029.26418737176"/>
        <n v="1627.08955441491"/>
        <n v="1744.9463452520199"/>
        <n v="1574.0470376533499"/>
        <n v="1581.1962276244201"/>
        <n v="1617.6938623927899"/>
        <n v="1586.42950369597"/>
        <n v="1854.14157857283"/>
        <n v="1747.46977947916"/>
        <n v="1656.57899775193"/>
        <n v="1764.82617567888"/>
        <n v="1644.9471800911999"/>
        <n v="1848.5693881018899"/>
        <n v="1810.0861802997299"/>
        <n v="1836.2685488775001"/>
        <n v="2023.3134109667601"/>
        <n v="1808.4761051723999"/>
        <n v="1712.9126754516401"/>
        <n v="1825.2785553241299"/>
        <n v="1796.1802039827401"/>
        <n v="2162.9682010074798"/>
        <n v="2310.9798734470801"/>
        <n v="2108.5351536959201"/>
        <n v="1691.8977941898199"/>
        <n v="1893.5549449242901"/>
        <n v="1890.47424629596"/>
        <n v="1798.43908167888"/>
        <n v="1914.5973916266601"/>
        <n v="2022.3240205781101"/>
        <n v="1590.0270452539901"/>
        <n v="2032.6669168144599"/>
        <n v="2017.2846974305201"/>
        <n v="2033.0802436855199"/>
        <n v="1777.4593407397699"/>
        <n v="2017.76676902431"/>
        <n v="1872.05644671081"/>
        <n v="2135.5107059536699"/>
        <n v="1913.0420679866199"/>
        <n v="1863.7814012562001"/>
        <n v="1750.09064120584"/>
        <n v="1720.6751157801"/>
        <n v="1841.8018148450101"/>
        <n v="2020.17876702426"/>
        <n v="1726.9659914814799"/>
        <n v="1777.58895647397"/>
        <n v="1830.4644448112699"/>
        <n v="1821.04749418191"/>
        <n v="1813.36849612637"/>
        <n v="1737.7124411643099"/>
        <n v="1682.2509384027701"/>
        <n v="1642.53867013842"/>
        <n v="2000.74072890292"/>
        <n v="1795.4919188444601"/>
        <n v="1794.97946694901"/>
        <n v="2042.83017950061"/>
        <n v="1983.1058967746101"/>
        <n v="1950.87994852103"/>
        <n v="1682.0651601649299"/>
        <n v="1829.59348544779"/>
        <n v="1777.8021583745599"/>
        <n v="1780.0195755510899"/>
        <n v="1777.5989177050001"/>
        <n v="2132.7958570012302"/>
        <n v="1570.6791328500001"/>
        <n v="1590.87380321052"/>
        <n v="1968.17897839688"/>
        <n v="1728.9716821884001"/>
        <n v="1759.7279150136601"/>
        <n v="1759.5657827463499"/>
        <n v="1987.5666719933499"/>
        <n v="1813.8673221521501"/>
        <n v="1829.9042118231"/>
        <n v="1823.9836912717101"/>
        <n v="1678.1587847011599"/>
        <n v="1794.0496118714"/>
        <n v="1846.25297878735"/>
        <n v="1889.0073175838099"/>
        <n v="1807.57074061556"/>
        <n v="1757.4230907799799"/>
        <n v="1672.8812301452299"/>
        <n v="1715.1011619831099"/>
        <n v="1872.6756424647899"/>
        <n v="1612.4930448503301"/>
        <n v="2022.4388479008101"/>
        <n v="1660.3552234143499"/>
        <n v="2035.1266850065299"/>
        <n v="1953.53509749058"/>
        <n v="1947.78442956653"/>
        <n v="1832.37786353008"/>
        <n v="2019.3594531026899"/>
        <n v="1975.46533615044"/>
        <n v="1799.88642160218"/>
        <n v="1836.4245200937801"/>
        <n v="2128.5361014831701"/>
        <n v="1950.7333828309399"/>
        <n v="1730.26671297441"/>
        <n v="1817.84051746154"/>
        <n v="1844.10065600705"/>
        <n v="2040.9425625875299"/>
        <n v="1940.27091678484"/>
        <n v="2443.7294607139802"/>
        <n v="2474.3430017455298"/>
        <n v="2411.8676630059399"/>
        <n v="1655.0635681235899"/>
        <n v="1657.6569353223199"/>
        <n v="1904.6555375205"/>
        <n v="2019.25591547318"/>
        <n v="1798.0341412814701"/>
        <n v="1850.5960893172401"/>
        <n v="1727.52643276866"/>
        <n v="2293.2523037511201"/>
        <n v="1948.91322133313"/>
        <n v="1810.02498611435"/>
        <n v="1975.9758196606299"/>
        <n v="1925.64043423613"/>
        <n v="1742.07090522116"/>
        <n v="1934.7338010016999"/>
        <n v="1794.2977582020801"/>
        <n v="1592.28099096354"/>
        <n v="1976.7474011833599"/>
        <n v="1757.04315437525"/>
        <n v="2118.1132430611601"/>
        <n v="1804.2173791927801"/>
        <n v="2175.2582612528099"/>
        <n v="1618.75443060763"/>
        <n v="1622.0598393344901"/>
        <n v="1807.8317859988999"/>
        <n v="1816.4378180424701"/>
        <n v="1582.4416070585501"/>
        <n v="1585.87834182856"/>
        <n v="1878.9882389767399"/>
        <n v="1734.14646735923"/>
        <n v="1580.2779717853"/>
        <n v="1587.0216814814801"/>
        <n v="1840.4165015988499"/>
        <n v="1574.3299425405"/>
        <n v="1725.82885804744"/>
        <n v="1575.6054961545101"/>
        <n v="1575.1804975057801"/>
        <n v="1820.90028752221"/>
        <n v="1659.6828877432899"/>
        <n v="1568.10692729166"/>
        <n v="2151.8562785245899"/>
        <n v="1671.4823681502901"/>
        <n v="1728.1286361742"/>
        <n v="1677.75398633282"/>
        <n v="1717.36797693983"/>
        <n v="1967.9743538763801"/>
        <n v="1892.7178761363"/>
        <n v="1606.44845077788"/>
        <n v="1626.2114348591101"/>
        <n v="1848.5652219337001"/>
        <n v="1822.5091109620701"/>
        <n v="1605.04213190261"/>
        <n v="1750.2262486429299"/>
        <n v="1897.6177865525599"/>
        <n v="1578.77881297982"/>
        <n v="1700.03577567103"/>
        <n v="1786.50974233227"/>
        <n v="1727.7719130005701"/>
        <n v="1593.3542784577501"/>
        <n v="2129.3755129456799"/>
        <n v="1818.78196546717"/>
        <n v="1569.5212286603"/>
        <n v="1643.2844837845801"/>
        <n v="1933.80810768229"/>
        <n v="1568.54921364294"/>
        <n v="2058.0022179194998"/>
        <n v="1875.43763860532"/>
        <n v="1920.1228693103401"/>
        <n v="1694.0913055056101"/>
        <n v="2001.96364351069"/>
        <n v="1786.76516592897"/>
        <n v="1718.3295295819801"/>
        <n v="1842.43304282742"/>
        <n v="1637.8725903868001"/>
        <n v="1624.8389950073199"/>
        <n v="1670.57058261574"/>
        <n v="1762.4120013745301"/>
        <n v="1908.32938997473"/>
        <n v="1600.4515495543901"/>
        <n v="1787.4777816260801"/>
        <n v="1668.3925931767401"/>
        <n v="1715.90225961428"/>
        <n v="1874.89533479593"/>
        <n v="1689.1020299204199"/>
        <n v="1596.8768988020799"/>
        <n v="1814.68535419009"/>
        <n v="1600.38115481861"/>
        <n v="1957.01100517488"/>
        <n v="1817.7157576990401"/>
        <n v="1619.3279811283201"/>
        <n v="1852.61706127604"/>
        <n v="1602.0795721274801"/>
        <n v="1819.97739111635"/>
        <n v="1619.9681881220899"/>
        <n v="1638.59216486589"/>
        <n v="1623.1658985072399"/>
        <n v="1666.08007399594"/>
        <n v="1705.5930791072101"/>
        <n v="1595.5566018647501"/>
        <n v="1671.7765544886599"/>
        <n v="1810.2657865271401"/>
        <n v="1718.14678743228"/>
        <n v="1587.57779718662"/>
        <n v="2064.2822223421099"/>
        <n v="1994.6218493250001"/>
        <n v="1842.92477816528"/>
        <n v="2078.7590794102298"/>
        <n v="2169.5754742792001"/>
        <n v="2019.64804860544"/>
        <n v="1580.8063062818201"/>
        <n v="1786.24817567078"/>
        <n v="2004.9797868385999"/>
        <n v="2060.1514963659101"/>
        <n v="1780.3839477741001"/>
        <n v="1927.97892611257"/>
        <n v="1943.3837879463099"/>
        <n v="1833.57268577371"/>
        <n v="1701.6167409304201"/>
        <n v="2074.1170331594199"/>
        <n v="1804.0504331080599"/>
        <n v="1975.83950751097"/>
        <n v="1920.3059393328299"/>
        <n v="2032.41423345775"/>
        <n v="1920.8933387151801"/>
        <n v="1890.8056677207401"/>
        <n v="1805.4407189814699"/>
        <n v="2154.5182332158101"/>
        <n v="1634.1068974488901"/>
        <n v="2134.6605308817202"/>
        <n v="1975.39543875291"/>
        <n v="1930.44580370789"/>
        <n v="1982.45573601505"/>
        <n v="1980.5151014385399"/>
        <n v="1910.6087675229101"/>
        <n v="1641.39290903236"/>
        <n v="1894.4140706793801"/>
        <n v="1992.1079614442499"/>
        <n v="1898.3527385155701"/>
        <n v="1945.7666957592201"/>
        <n v="1926.7591987456201"/>
        <n v="1843.84368998387"/>
        <n v="1817.4838904074099"/>
        <n v="2039.6734127274799"/>
        <n v="2185.13336368522"/>
        <n v="1895.8106702846501"/>
        <n v="2008.4660918805901"/>
        <n v="1854.2227994693301"/>
        <n v="2033.12317003925"/>
        <n v="2207.7265033728499"/>
        <n v="1875.3916182596599"/>
        <n v="1951.68991811152"/>
        <n v="1844.19869450482"/>
        <n v="1918.4274454076201"/>
        <n v="1864.0151329508201"/>
        <n v="1819.7982640411101"/>
        <n v="1672.69354049353"/>
        <n v="2061.7062229621001"/>
        <n v="1906.31008101115"/>
        <n v="1974.8122379577701"/>
        <n v="1909.6322502912401"/>
        <n v="2120.36955604475"/>
        <n v="1753.17318197124"/>
        <n v="1694.3384175101401"/>
        <n v="1898.4266004173001"/>
        <n v="1802.8756127009499"/>
        <n v="1608.81909254941"/>
        <n v="1964.76905490735"/>
        <n v="1735.3687546189201"/>
        <n v="2123.81961028363"/>
        <n v="1852.7863304483201"/>
        <n v="1858.9930526942701"/>
        <n v="1961.1457967799099"/>
        <n v="2256.27283131486"/>
        <n v="1766.3100732190801"/>
        <n v="1986.5380461904099"/>
        <n v="1738.43320118923"/>
        <n v="1740.5220113493399"/>
        <n v="1928.57176870688"/>
        <n v="1758.39731653281"/>
        <n v="1605.38423299189"/>
        <n v="1970.57900087911"/>
        <n v="1855.62199199003"/>
        <n v="1652.7109086838"/>
        <n v="2033.5051970679699"/>
        <n v="1838.99442533765"/>
        <n v="1851.5812218639501"/>
        <n v="1858.5572261573"/>
        <n v="1959.09295238155"/>
        <n v="1701.87509109807"/>
        <n v="1732.2061338319199"/>
        <n v="1908.98477491112"/>
        <n v="1570.84423980613"/>
        <n v="1762.56594341447"/>
        <n v="1725.6176260059999"/>
        <n v="1728.83953149183"/>
        <n v="1651.3852701388801"/>
        <n v="1758.72878086581"/>
        <n v="2035.4387956016999"/>
        <n v="2234.7943624733798"/>
        <n v="1789.53440828162"/>
        <n v="2001.26932905954"/>
        <n v="2182.3525916697799"/>
        <n v="2159.117614711"/>
        <n v="1706.5773609753301"/>
        <n v="1807.11276321946"/>
        <n v="1638.48369237618"/>
        <n v="1868.2789735884501"/>
        <n v="1900.2898958199701"/>
        <n v="1799.6188361857901"/>
        <n v="1621.0831168233599"/>
        <n v="1763.43579804666"/>
        <n v="1740.70589464319"/>
        <n v="2118.9879925640098"/>
        <n v="1794.23758312165"/>
        <n v="1783.56922613752"/>
        <n v="1974.0056546261001"/>
        <n v="1581.8524911197901"/>
        <n v="1953.43696266085"/>
        <n v="1832.1318234436201"/>
        <n v="1768.3016101629401"/>
        <n v="1909.6992477234201"/>
        <n v="1575.2065405931701"/>
        <n v="1600.38408303543"/>
        <n v="1739.51349874928"/>
        <n v="1777.1072886405"/>
        <n v="1916.4688339819099"/>
        <n v="1793.09742598002"/>
        <n v="1712.57904069867"/>
        <n v="1617.9641985553801"/>
        <n v="1955.2788822119901"/>
        <n v="1659.8557761111099"/>
        <n v="1850.92949057739"/>
        <n v="1956.67727098201"/>
        <n v="1701.77705130247"/>
        <n v="1616.9097174416099"/>
        <n v="1933.1830749575599"/>
        <n v="1761.2116512586799"/>
        <n v="1615.2015253480599"/>
        <n v="1766.19977676235"/>
        <n v="1734.0055544822501"/>
        <n v="1674.7525709736999"/>
        <n v="1624.90567400752"/>
        <n v="1593.0846489877699"/>
        <n v="1578.3043853559"/>
        <n v="2193.8206404528901"/>
        <n v="1631.0383713727799"/>
        <n v="1880.76290951754"/>
        <n v="1675.3195359690001"/>
        <n v="1797.7245848427899"/>
        <n v="1833.44220158652"/>
        <n v="1902.4015736854999"/>
        <n v="1608.51448964317"/>
        <n v="1862.7644592776101"/>
        <n v="1799.33494866766"/>
        <n v="1666.45388010231"/>
        <n v="2186.7582457029598"/>
        <n v="1918.78675472183"/>
        <n v="1713.2722332692899"/>
        <n v="1859.92713412745"/>
        <n v="1735.00728776557"/>
        <n v="1583.5589546614499"/>
        <n v="1810.6309825752301"/>
        <n v="1724.1900320944901"/>
        <n v="2031.12777892587"/>
        <n v="1724.4331370851301"/>
        <n v="1802.1957564597201"/>
        <n v="1765.51672313678"/>
        <n v="1965.7179825252199"/>
        <n v="1891.83942105248"/>
        <n v="1597.1518848061301"/>
        <n v="1952.4344264612"/>
        <n v="1971.54692826736"/>
        <n v="1888.5137036425101"/>
        <n v="1730.46971333954"/>
        <n v="1818.48832614666"/>
        <n v="1847.4371756237199"/>
        <n v="2083.93783942646"/>
        <n v="2003.8875512141501"/>
        <n v="1811.6204891485399"/>
        <n v="1779.1721522285"/>
        <n v="1695.7233284435399"/>
        <n v="1791.9125620760501"/>
        <n v="1893.6369908294801"/>
        <n v="1886.59672756332"/>
        <n v="1892.5325493067"/>
        <n v="1839.99122962255"/>
        <n v="1781.9148662534801"/>
        <n v="1916.58961886938"/>
        <n v="1790.1664991273699"/>
        <n v="1898.1138188042801"/>
        <n v="1702.4322595721601"/>
        <n v="2150.4490031371402"/>
        <n v="1915.87143434258"/>
        <n v="1836.0006180186299"/>
        <n v="1906.8748580721699"/>
        <n v="1847.70148076339"/>
        <n v="2032.8105199823799"/>
        <n v="1726.2278784448199"/>
        <n v="1780.8865787002401"/>
        <n v="1813.6923360143401"/>
        <n v="2040.7385545796501"/>
        <n v="1939.58752155401"/>
        <n v="1853.3210455596"/>
        <n v="1929.3426527602701"/>
        <n v="1810.3418276077"/>
        <n v="1892.46498484723"/>
        <n v="1854.88993641704"/>
        <n v="1966.20389389141"/>
        <n v="1835.7205276042901"/>
        <n v="1839.6380612621799"/>
        <n v="2179.3333779560498"/>
        <n v="1733.91076037997"/>
        <n v="1961.4526883563999"/>
        <n v="1949.3886603107401"/>
        <n v="2110.08934560647"/>
        <n v="2101.9643178460901"/>
        <n v="2384.6021041388899"/>
        <n v="1672.8463340738899"/>
        <n v="1702.38751893474"/>
        <n v="1610.5279187743399"/>
        <n v="2167.16823974409"/>
        <n v="2195.8084224098998"/>
        <n v="1941.1256900441299"/>
        <n v="1443.7462651190201"/>
        <n v="1669.44981086955"/>
        <n v="1546.1721726892599"/>
        <n v="1883.1118381839301"/>
        <n v="1650.57800850743"/>
        <n v="1890.6747993415299"/>
        <n v="1997.75909548292"/>
        <n v="1853.4886607271401"/>
        <n v="2276.4924127311401"/>
        <n v="1783.9193077382399"/>
        <n v="2025.9103008710399"/>
        <n v="1860.0824806805199"/>
        <n v="1832.63845988817"/>
        <n v="1862.09170790743"/>
        <n v="1768.43252633318"/>
        <n v="1725.5363197828401"/>
        <n v="1817.4172705425799"/>
        <n v="1668.88298753914"/>
        <n v="2039.90728198939"/>
        <n v="1843.6701442764099"/>
        <n v="1887.91990549709"/>
        <n v="1704.14093416798"/>
        <n v="1953.3319558973001"/>
        <n v="1806.4821601976801"/>
        <n v="2010.4373407451101"/>
        <n v="1950.3250165618199"/>
        <n v="2001.2374540046601"/>
        <n v="1943.7404022712201"/>
        <n v="1791.3260897427599"/>
        <n v="940.918780126005"/>
      </sharedItems>
    </cacheField>
    <cacheField name="Distance (m)" numFmtId="0">
      <sharedItems containsString="0" containsBlank="1" containsNumber="1" minValue="15.0066949671941" maxValue="16674.695757477199" count="545">
        <n v="115.48630474753701"/>
        <n v="3504.2230002340598"/>
        <n v="237.497259480812"/>
        <n v="1268.6378379580101"/>
        <n v="2352.4925720096198"/>
        <n v="3693.3073495551798"/>
        <n v="11189.0498986775"/>
        <n v="351.09476701235099"/>
        <n v="6887.6940270197101"/>
        <n v="91.345099800312497"/>
        <n v="2450.4351751476702"/>
        <n v="2768.8933442943498"/>
        <n v="5391.5164796999197"/>
        <n v="459.87033564486097"/>
        <n v="1511.5396276010699"/>
        <n v="6620.4374188311403"/>
        <n v="1355.5711018105001"/>
        <n v="1620.74845765839"/>
        <n v="2851.25809973471"/>
        <n v="3605.72294325536"/>
        <n v="2819.3206627599502"/>
        <n v="302.10189430603998"/>
        <n v="2287.4182912440401"/>
        <n v="3682.83151960131"/>
        <n v="663.90667360254997"/>
        <n v="2333.7470924742602"/>
        <n v="3167.3007635244498"/>
        <n v="3725.1171196693599"/>
        <n v="5682.2523844955103"/>
        <n v="3440.5237698937599"/>
        <n v="13754.6933463765"/>
        <n v="7008.21791803"/>
        <n v="12014.483801607201"/>
        <n v="13825.195740752801"/>
        <n v="9899.4741312037095"/>
        <n v="4295.0647502731099"/>
        <n v="2774.4249048757501"/>
        <n v="3595.1591003378498"/>
        <n v="5120.33484819977"/>
        <n v="3272.3381547168201"/>
        <n v="2676.5152983061998"/>
        <n v="1696.2003520153801"/>
        <n v="740.38747443406805"/>
        <n v="488.19693008367801"/>
        <n v="2101.6052908162001"/>
        <n v="4962.0134791575802"/>
        <n v="4337.2831961997199"/>
        <n v="1757.8306193102001"/>
        <n v="2499.5314707419898"/>
        <n v="80.253194824560197"/>
        <n v="3392.7016000272602"/>
        <n v="2736.5378628943199"/>
        <n v="2289.8070264503399"/>
        <n v="2614.1612586018"/>
        <n v="2261.1540068661802"/>
        <n v="1074.4970632966099"/>
        <n v="740.40289636453304"/>
        <n v="1478.75201921895"/>
        <n v="2717.4814251345501"/>
        <n v="3321.9847720422499"/>
        <n v="3435.0488944379999"/>
        <n v="3978.28727735045"/>
        <n v="2089.5389737198898"/>
        <n v="2380.97891314563"/>
        <n v="158.54899465339901"/>
        <n v="409.653171368811"/>
        <n v="2418.58930849136"/>
        <n v="365.88831323875797"/>
        <n v="887.48224126168498"/>
        <n v="2297.4780100047701"/>
        <n v="417.63448848748101"/>
        <n v="1031.89533940459"/>
        <n v="56.3740062789239"/>
        <n v="1109.52985539408"/>
        <n v="113.528909751816"/>
        <n v="57.416919874482097"/>
        <n v="602.75504183996998"/>
        <n v="518.73836537619604"/>
        <n v="608.80866027018601"/>
        <n v="8077.24664048668"/>
        <n v="1023.12162781215"/>
        <n v="3842.3758620499202"/>
        <n v="480.44304900630601"/>
        <n v="15.0066949671941"/>
        <n v="447.584070117539"/>
        <n v="712.57639009929301"/>
        <n v="220.393841864205"/>
        <n v="112.87644475324301"/>
        <n v="777.72420583078701"/>
        <n v="3180.2151434225502"/>
        <n v="106.689742588732"/>
        <n v="153.74008279860001"/>
        <n v="1989.7371657835299"/>
        <n v="2644.94630853644"/>
        <n v="2046.0274261817301"/>
        <n v="2799.3465462879799"/>
        <n v="4077.3351865320601"/>
        <n v="3486.0977261575099"/>
        <n v="9778.2214726993407"/>
        <n v="4771.2829240574902"/>
        <n v="1101.2253095594899"/>
        <n v="4536.5379741001298"/>
        <n v="2358.4434625765398"/>
        <n v="3556.42446855249"/>
        <n v="13447.3306595788"/>
        <n v="10304.604386478701"/>
        <n v="1837.6268836471099"/>
        <n v="5181.1088791018501"/>
        <n v="2442.0519457829901"/>
        <n v="1662.65136293623"/>
        <n v="3103.9676462295101"/>
        <n v="3216.1334137389499"/>
        <n v="408.86730429716198"/>
        <n v="4199.6345291150801"/>
        <n v="5242.1387662892403"/>
        <n v="5459.7624319591996"/>
        <n v="2639.4365107487702"/>
        <n v="4959.3662920200204"/>
        <n v="4979.3429816422904"/>
        <n v="11326.0151752819"/>
        <n v="2388.44904186965"/>
        <n v="2628.5683741692901"/>
        <n v="3120.7875091391402"/>
        <n v="2218.90804505093"/>
        <n v="3379.63421333922"/>
        <n v="5973.0806922669999"/>
        <n v="242.06451447082799"/>
        <n v="3546.8755536695298"/>
        <n v="4157.75184862078"/>
        <n v="3643.5507507288098"/>
        <n v="3986.4083383351199"/>
        <n v="3367.7655268671701"/>
        <n v="794.70367960512306"/>
        <n v="4715.2592824419899"/>
        <n v="4334.6117963370698"/>
        <n v="3733.3126378074098"/>
        <n v="3508.46935490129"/>
        <n v="5429.9243762412898"/>
        <n v="5049.04865043482"/>
        <n v="5284.9240501348104"/>
        <n v="304.43647350567699"/>
        <n v="2959.6219780139199"/>
        <n v="1251.34067154901"/>
        <n v="902.65429694029694"/>
        <n v="3524.25486326497"/>
        <n v="8911.0451292308408"/>
        <n v="40.452829911566901"/>
        <n v="575.54772763107496"/>
        <n v="6457.5341438557398"/>
        <n v="2022.7437783681501"/>
        <n v="3656.72751492835"/>
        <n v="1491.5478499915"/>
        <m/>
        <n v="6259.4946061375804"/>
        <n v="4876.6013490237201"/>
        <n v="3765.0498611333401"/>
        <n v="3216.2762954393002"/>
        <n v="450.22603489849399"/>
        <n v="3670.4053115537699"/>
        <n v="5855.8187567600298"/>
        <n v="5126.3332078742997"/>
        <n v="4734.4127554066699"/>
        <n v="4315.6812755519604"/>
        <n v="4404.27676678014"/>
        <n v="2679.8083238980998"/>
        <n v="4798.4851120466901"/>
        <n v="1319.82978762836"/>
        <n v="7981.6366684866898"/>
        <n v="2068.9095739945401"/>
        <n v="5892.18855232643"/>
        <n v="3766.55132551212"/>
        <n v="4259.5833151839797"/>
        <n v="2709.4588354543198"/>
        <n v="7197.1960725742902"/>
        <n v="4396.5424257284503"/>
        <n v="3549.09755266402"/>
        <n v="4513.3642328568603"/>
        <n v="9809.2024040259803"/>
        <n v="6447.5038072375601"/>
        <n v="5949.0666398819503"/>
        <n v="6844.3681986048095"/>
        <n v="6916.3262082812798"/>
        <n v="6829.9714782052297"/>
        <n v="8136.7541955991201"/>
        <n v="16245.395246894201"/>
        <n v="15011.596932539"/>
        <n v="16674.695757477199"/>
        <n v="2070.74728979061"/>
        <n v="1309.7392689123601"/>
        <n v="130.49299971473201"/>
        <n v="5033.5589322153801"/>
        <n v="6277.8621878599897"/>
        <n v="3687.7377873126302"/>
        <n v="4428.0109623901799"/>
        <n v="3825.5788220546501"/>
        <n v="8834.9063836639998"/>
        <n v="3665.9483794623102"/>
        <n v="2864.7928249967599"/>
        <n v="5378.11148452416"/>
        <n v="4430.6801646837303"/>
        <n v="2409.6753306624801"/>
        <n v="4125.3945642537301"/>
        <n v="4194.9036130470304"/>
        <n v="249.894094453712"/>
        <n v="4721.5640758719701"/>
        <n v="2014.1602553663699"/>
        <n v="9279.2129589931392"/>
        <n v="3708.6522744173799"/>
        <n v="6462.2271022087398"/>
        <n v="300.266221293667"/>
        <n v="702.165952889339"/>
        <n v="2108.2764857418802"/>
        <n v="2568.5264162061499"/>
        <n v="117.002837715479"/>
        <n v="268.18568957344399"/>
        <n v="3294.1835399968299"/>
        <n v="1917.7948917204701"/>
        <n v="236.929613556677"/>
        <n v="484.14221066874597"/>
        <n v="3047.80027861496"/>
        <n v="114.18137475039001"/>
        <n v="1844.8455581723799"/>
        <n v="161.81131964626701"/>
        <n v="231.27111334197701"/>
        <n v="2435.3958228121701"/>
        <n v="1495.91724070191"/>
        <n v="90.040169803165199"/>
        <n v="10895.8571122431"/>
        <n v="1919.23288596815"/>
        <n v="3211.7501681745998"/>
        <n v="1986.9092448171"/>
        <n v="3404.4717225335999"/>
        <n v="8064.3137175333504"/>
        <n v="4862.3012735564798"/>
        <n v="1635.2883354130699"/>
        <n v="1279.6244643341799"/>
        <n v="3690.0670232114298"/>
        <n v="2623.5749052237802"/>
        <n v="526.20810194382796"/>
        <n v="354.71028423309599"/>
        <n v="4704.7617032115304"/>
        <n v="16.9640899629151"/>
        <n v="262.334027858225"/>
        <n v="3498.3273786171098"/>
        <n v="3483.6816506936202"/>
        <n v="418.49368921828398"/>
        <n v="372.21920192872301"/>
        <n v="4408.8097044691103"/>
        <n v="2203.0991854932299"/>
        <n v="234.234934487944"/>
        <n v="919.78128330573497"/>
        <n v="840.807716825998"/>
        <n v="181.41159711492799"/>
        <n v="927.44802316463904"/>
        <n v="1298.0586869214701"/>
        <n v="2426.3194856718101"/>
        <n v="2692.95203377294"/>
        <n v="7100.21299763775"/>
        <n v="4675.5164190178202"/>
        <n v="2500.0001982173999"/>
        <n v="4510.9504291521698"/>
        <n v="1661.0033071226301"/>
        <n v="754.45993213380405"/>
        <n v="1393.1194458521099"/>
        <n v="5258.3374334721302"/>
        <n v="5665.0280359716098"/>
        <n v="1080.80874393251"/>
        <n v="4810.5849150056101"/>
        <n v="4030.1773765233702"/>
        <n v="4111.4410803150404"/>
        <n v="6315.0247003993099"/>
        <n v="2756.0395721597401"/>
        <n v="574.65949357971897"/>
        <n v="4594.1712669053104"/>
        <n v="1200.5172536157099"/>
        <n v="7655.7168545652003"/>
        <n v="4083.0503277441398"/>
        <n v="521.16517549524599"/>
        <n v="4653.8350955036803"/>
        <n v="1191.4232991926599"/>
        <n v="4066.7811267929801"/>
        <n v="738.97585101284403"/>
        <n v="829.41575526775102"/>
        <n v="1306.6328182869099"/>
        <n v="1144.4340062495401"/>
        <n v="3482.2355279150902"/>
        <n v="718.10208645893601"/>
        <n v="628.04386539008306"/>
        <n v="5069.4501612061104"/>
        <n v="2943.4211123074701"/>
        <n v="600.934265522288"/>
        <n v="8822.8068063359497"/>
        <n v="7676.4266168402801"/>
        <n v="5263.6722407967"/>
        <n v="9231.3043967505091"/>
        <n v="10435.8058470658"/>
        <n v="2720.95269387699"/>
        <n v="6011.6760738638304"/>
        <n v="4938.4710734525997"/>
        <n v="5004.4643509080997"/>
        <n v="2132.4165162488698"/>
        <n v="5984.1076195775804"/>
        <n v="4627.4864534566696"/>
        <n v="5941.1588333974996"/>
        <n v="2432.2545246565201"/>
        <n v="5976.2830379432799"/>
        <n v="4439.3987293977898"/>
        <n v="4363.2458769897803"/>
        <n v="3707.1267109025998"/>
        <n v="3282.8536254228702"/>
        <n v="4677.0140043594502"/>
        <n v="5085.4261980909896"/>
        <n v="2748.8460133302901"/>
        <n v="9545.6033820010907"/>
        <n v="1130.8914435588299"/>
        <n v="9788.0824542196297"/>
        <n v="4761.2435261896399"/>
        <n v="6627.3618024069601"/>
        <n v="4576.1344012011996"/>
        <n v="7423.9294071654203"/>
        <n v="2994.65548578782"/>
        <n v="1657.15251765059"/>
        <n v="3501.6811619370201"/>
        <n v="7355.4844235059199"/>
        <n v="3335.71874154125"/>
        <n v="6405.9524153517696"/>
        <n v="5186.2514439408196"/>
        <n v="1345.38107861653"/>
        <n v="4431.72304833821"/>
        <n v="6080.6600795138302"/>
        <n v="7850.5660383387403"/>
        <n v="4110.7038166983502"/>
        <n v="6610.2009039322402"/>
        <n v="5239.3871983839599"/>
        <n v="4548.0224549966797"/>
        <n v="8952.6357260634795"/>
        <n v="6003.2596230484696"/>
        <n v="4124.0011900723703"/>
        <n v="2913.2957188649998"/>
        <n v="4195.6094507255402"/>
        <n v="5835.1206775916398"/>
        <n v="2313.1603933001802"/>
        <n v="3006.17265648496"/>
        <n v="4554.9867113544497"/>
        <n v="3976.5579877561199"/>
        <n v="3755.3321799320902"/>
        <n v="4483.0723670440802"/>
        <n v="5928.2568866142701"/>
        <n v="4018.4025202142302"/>
        <n v="2244.2457780677601"/>
        <n v="4883.9025803969298"/>
        <n v="48.2824098944509"/>
        <n v="5610.4673202075701"/>
        <n v="995.77518922523598"/>
        <n v="6686.2759635419598"/>
        <n v="2761.9258840020502"/>
        <n v="4952.8377089559299"/>
        <n v="3022.0437910218502"/>
        <n v="3274.7442432376101"/>
        <n v="7777.05837425958"/>
        <n v="9500.0762406552694"/>
        <n v="1709.3923916204101"/>
        <n v="6809.00197527825"/>
        <n v="665.09162638014197"/>
        <n v="2569.43725260066"/>
        <n v="4746.5176241664103"/>
        <n v="2941.31510469573"/>
        <n v="556.15762466356"/>
        <n v="5589.7487527296998"/>
        <n v="1814.9514740536599"/>
        <n v="4066.98998581653"/>
        <n v="5616.8665313679503"/>
        <n v="2938.2115077017902"/>
        <n v="3124.15595112138"/>
        <n v="3675.9663888916898"/>
        <n v="4722.3762106232998"/>
        <n v="2558.1464039348398"/>
        <n v="3013.5457077504502"/>
        <n v="3749.3865463162401"/>
        <n v="79.600729825986605"/>
        <n v="5135.2988944687104"/>
        <n v="2810.1839380868801"/>
        <n v="5079.5670045472098"/>
        <n v="685.43414036007005"/>
        <n v="3864.6222211494401"/>
        <n v="5760.5792783426296"/>
        <n v="10064.440988528801"/>
        <n v="3796.9138256153601"/>
        <n v="7373.3748951043399"/>
        <n v="7726.0443849458397"/>
        <n v="8346.1546366330404"/>
        <n v="2240.1295796352501"/>
        <n v="2988.15422689046"/>
        <n v="1032.6490560028001"/>
        <n v="3056.6336722024498"/>
        <n v="5129.0192220173903"/>
        <n v="107.656724764654"/>
        <n v="2648.3735444598501"/>
        <n v="1224.47083569193"/>
        <n v="2093.5973256195098"/>
        <n v="1758.0982731341801"/>
        <n v="9427.4864187597996"/>
        <n v="3855.0580294937099"/>
        <n v="3577.3434589448698"/>
        <n v="5925.9954365415197"/>
        <n v="118.748629740406"/>
        <n v="5617.8058812314102"/>
        <n v="2996.7138922416998"/>
        <n v="2604.0580308980002"/>
        <n v="6934.71061933282"/>
        <n v="316.92362044019899"/>
        <n v="291.234984386223"/>
        <n v="2672.1003883826202"/>
        <n v="577.93162511380297"/>
        <n v="2272.5186602764802"/>
        <n v="2625.3591837649301"/>
        <n v="3322.5580087104299"/>
        <n v="33.275714927256701"/>
        <n v="2112.6662672177399"/>
        <n v="1248.6479493766101"/>
        <n v="101.78453977749101"/>
        <n v="3934.3212293925599"/>
        <n v="1633.32702927129"/>
        <n v="2956.1072730650399"/>
        <n v="2947.9006468571001"/>
        <n v="1554.4625146802"/>
        <n v="161.158854647694"/>
        <n v="4540.04468666925"/>
        <n v="2616.2101238405799"/>
        <n v="935.78658177299201"/>
        <n v="4281.1475080008904"/>
        <n v="4122.3543200583599"/>
        <n v="4136.7765800063898"/>
        <n v="1561.0757541016301"/>
        <n v="646.44049118027203"/>
        <n v="623.23875642602604"/>
        <n v="11754.0224969016"/>
        <n v="326.189335214224"/>
        <n v="5093.3281142776304"/>
        <n v="1699.7637894117299"/>
        <n v="3614.8201392327801"/>
        <n v="3140.3140131688501"/>
        <n v="5478.2713770713999"/>
        <n v="1145.96715731429"/>
        <n v="5661.3798769906398"/>
        <n v="3917.4690151812702"/>
        <n v="2623.2832200988601"/>
        <n v="10604.3626625741"/>
        <n v="5398.2447565202801"/>
        <n v="2943.78076380742"/>
        <n v="2513.66784051272"/>
        <n v="3427.9739504126301"/>
        <n v="772.78958801869499"/>
        <n v="3780.7629921431298"/>
        <n v="3978.6329145433001"/>
        <n v="6248.5209220159604"/>
        <n v="3047.3250671619498"/>
        <n v="3213.7546221132902"/>
        <n v="2902.9410011220002"/>
        <n v="4353.2396241850001"/>
        <n v="4777.0804474624301"/>
        <n v="946.52626156171402"/>
        <n v="5039.6793522211701"/>
        <n v="5135.4983127693204"/>
        <n v="3295.6071060498398"/>
        <n v="1127.22893939748"/>
        <n v="3181.86638098299"/>
        <n v="3257.73800277905"/>
        <n v="8650.5359050744191"/>
        <n v="9769.1995772261707"/>
        <n v="6932.3079374601703"/>
        <n v="5223.4855603696597"/>
        <n v="2118.2162772530501"/>
        <n v="3409.4798146470598"/>
        <n v="4261.21477816072"/>
        <n v="4695.5773219612602"/>
        <n v="5883.9154107698896"/>
        <n v="4464.36305109364"/>
        <n v="3386.81919435499"/>
        <n v="4702.1287530515801"/>
        <n v="2237.63382770623"/>
        <n v="5164.5210043680199"/>
        <n v="1848.44588007787"/>
        <n v="10092.8894757774"/>
        <n v="7332.8134708396501"/>
        <n v="3401.59998514886"/>
        <n v="7097.7389817735802"/>
        <n v="5207.8332348146196"/>
        <n v="5831.3552398956799"/>
        <n v="531.299510508916"/>
        <n v="4303.4179976473297"/>
        <n v="3470.1074740240701"/>
        <n v="6232.1129770787402"/>
        <n v="4725.4825349089097"/>
        <n v="6899.5637156405701"/>
        <n v="4975.30856569152"/>
        <n v="4268.0780805354698"/>
        <n v="6684.2455287179"/>
        <n v="5227.2766926131499"/>
        <n v="6504.3877930888002"/>
        <n v="2940.2186995684501"/>
        <n v="3716.7044582107601"/>
        <n v="10583.004056523199"/>
        <n v="3842.1474420724198"/>
        <n v="7735.8210296744501"/>
        <n v="4650.5813388848201"/>
        <n v="6494.3079545130004"/>
        <n v="9466.9283046649507"/>
        <n v="8975.0751984745293"/>
        <n v="1600.7160757192401"/>
        <n v="619.77944386386298"/>
        <n v="1480.55685911317"/>
        <n v="7362.1256563138004"/>
        <n v="6796.4483676048003"/>
        <n v="10058.6882784307"/>
        <n v="992.62825299604106"/>
        <n v="1803.00843153554"/>
        <n v="517.14925685887397"/>
        <n v="7869.13454599339"/>
        <n v="3855.1626887561602"/>
        <n v="6772.9567162722797"/>
        <n v="5567.8527972955098"/>
        <n v="6017.66071576594"/>
        <n v="6871.6860896415401"/>
        <n v="7339.3483998660504"/>
        <n v="6789.3031504016699"/>
        <n v="4716.2285623752696"/>
        <n v="4661.82030509385"/>
        <n v="5172.2799031963996"/>
        <n v="6275.7541136077398"/>
        <n v="4699.4549192903896"/>
        <n v="6578.3249600558902"/>
        <n v="792.32841840986998"/>
        <n v="4874.5049397288003"/>
        <n v="5142.5851599787002"/>
        <n v="6992.0882775846103"/>
        <n v="4535.6174946739102"/>
        <n v="4991.1379501205402"/>
        <n v="7009.4108816042899"/>
        <n v="6308.6558884742299"/>
        <n v="7736.3971457056696"/>
        <n v="9952.2278039698394"/>
        <n v="8741.3947319751205"/>
        <n v="4184.0052920437302"/>
        <n v="833.07943457767794"/>
      </sharedItems>
    </cacheField>
    <cacheField name="Heart Points" numFmtId="0">
      <sharedItems containsString="0" containsBlank="1" containsNumber="1" containsInteger="1" minValue="1" maxValue="149" count="105">
        <m/>
        <n v="5"/>
        <n v="35"/>
        <n v="45"/>
        <n v="71"/>
        <n v="1"/>
        <n v="69"/>
        <n v="53"/>
        <n v="56"/>
        <n v="9"/>
        <n v="80"/>
        <n v="41"/>
        <n v="36"/>
        <n v="58"/>
        <n v="50"/>
        <n v="34"/>
        <n v="20"/>
        <n v="37"/>
        <n v="42"/>
        <n v="39"/>
        <n v="33"/>
        <n v="4"/>
        <n v="52"/>
        <n v="18"/>
        <n v="25"/>
        <n v="95"/>
        <n v="38"/>
        <n v="47"/>
        <n v="74"/>
        <n v="17"/>
        <n v="6"/>
        <n v="2"/>
        <n v="65"/>
        <n v="124"/>
        <n v="29"/>
        <n v="40"/>
        <n v="43"/>
        <n v="57"/>
        <n v="68"/>
        <n v="26"/>
        <n v="72"/>
        <n v="64"/>
        <n v="22"/>
        <n v="31"/>
        <n v="76"/>
        <n v="21"/>
        <n v="3"/>
        <n v="73"/>
        <n v="32"/>
        <n v="83"/>
        <n v="44"/>
        <n v="46"/>
        <n v="139"/>
        <n v="59"/>
        <n v="98"/>
        <n v="77"/>
        <n v="54"/>
        <n v="66"/>
        <n v="110"/>
        <n v="48"/>
        <n v="27"/>
        <n v="30"/>
        <n v="23"/>
        <n v="28"/>
        <n v="14"/>
        <n v="81"/>
        <n v="78"/>
        <n v="62"/>
        <n v="100"/>
        <n v="24"/>
        <n v="19"/>
        <n v="8"/>
        <n v="67"/>
        <n v="49"/>
        <n v="79"/>
        <n v="116"/>
        <n v="16"/>
        <n v="94"/>
        <n v="60"/>
        <n v="93"/>
        <n v="7"/>
        <n v="11"/>
        <n v="10"/>
        <n v="13"/>
        <n v="108"/>
        <n v="88"/>
        <n v="111"/>
        <n v="15"/>
        <n v="12"/>
        <n v="85"/>
        <n v="87"/>
        <n v="82"/>
        <n v="89"/>
        <n v="51"/>
        <n v="55"/>
        <n v="115"/>
        <n v="144"/>
        <n v="70"/>
        <n v="121"/>
        <n v="86"/>
        <n v="149"/>
        <n v="90"/>
        <n v="97"/>
        <n v="63"/>
        <n v="61"/>
      </sharedItems>
    </cacheField>
    <cacheField name="Heart Minutes" numFmtId="0">
      <sharedItems containsString="0" containsBlank="1" containsNumber="1" containsInteger="1" minValue="1" maxValue="139"/>
    </cacheField>
    <cacheField name="Low latitude (deg)" numFmtId="0">
      <sharedItems containsString="0" containsBlank="1" containsNumber="1" minValue="31.221578598022401" maxValue="31.253826141357401"/>
    </cacheField>
    <cacheField name="Low longitude (deg)" numFmtId="0">
      <sharedItems containsString="0" containsBlank="1" containsNumber="1" minValue="75.684181213378906" maxValue="75.701751708984304"/>
    </cacheField>
    <cacheField name="High latitude (deg)" numFmtId="0">
      <sharedItems containsString="0" containsBlank="1" containsNumber="1" minValue="31.251567840576101" maxValue="31.274950027465799"/>
    </cacheField>
    <cacheField name="High longitude (deg)" numFmtId="0">
      <sharedItems containsString="0" containsBlank="1" containsNumber="1" minValue="75.69482421875" maxValue="75.766799926757798"/>
    </cacheField>
    <cacheField name="Average speed (m/s)" numFmtId="0">
      <sharedItems containsString="0" containsBlank="1" containsNumber="1" minValue="0.25011158278656997" maxValue="0.99617687982721903" count="545">
        <n v="0.34060794417196999"/>
        <n v="0.47943025248960802"/>
        <n v="0.39777815664402599"/>
        <n v="0.44042018415690598"/>
        <n v="0.64927925597178204"/>
        <n v="0.50066672865528905"/>
        <n v="0.59175482134530399"/>
        <n v="0.57633976435979695"/>
        <n v="0.62152762349573798"/>
        <n v="0.32825963369172001"/>
        <n v="0.57753777263822004"/>
        <n v="0.71713753660490698"/>
        <n v="0.70573192879159397"/>
        <n v="0.42619135065909403"/>
        <n v="0.45812378864959902"/>
        <n v="0.68630530272109502"/>
        <n v="0.42355706421998801"/>
        <n v="0.42707784082378097"/>
        <n v="0.88892355186079197"/>
        <n v="0.73529538816463802"/>
        <n v="0.51199077921239999"/>
        <n v="0.36259086568085003"/>
        <n v="0.73412834468335597"/>
        <n v="0.639209376524141"/>
        <n v="0.47327047255457799"/>
        <n v="0.51410757926010897"/>
        <n v="0.69341707213234305"/>
        <n v="0.43056333276500802"/>
        <n v="0.42630059777742801"/>
        <n v="0.52234304270389398"/>
        <n v="0.61220857785369798"/>
        <n v="0.48715704549835898"/>
        <n v="0.60119540329805798"/>
        <n v="0.55708397716979496"/>
        <n v="0.59668049081165997"/>
        <n v="0.52854175344216703"/>
        <n v="0.70195723767148699"/>
        <n v="0.84839345149065104"/>
        <n v="0.45579734775337799"/>
        <n v="0.52206467724710703"/>
        <n v="0.56807681952800104"/>
        <n v="0.448077510528267"/>
        <n v="0.44977150385675702"/>
        <n v="0.33791060523709698"/>
        <n v="0.50927671103792305"/>
        <n v="0.70063313102145497"/>
        <n v="0.63031628846586396"/>
        <n v="0.57465788678127405"/>
        <n v="0.63797425914460204"/>
        <n v="0.34344268085687502"/>
        <n v="0.57596677282837505"/>
        <n v="0.691818430149166"/>
        <n v="0.60684702547577396"/>
        <n v="0.72858302773942796"/>
        <n v="0.48445155528862399"/>
        <n v="0.50907627617181495"/>
        <n v="0.403464281685328"/>
        <n v="0.43727070251834499"/>
        <n v="0.47940736852920801"/>
        <n v="0.704094651397836"/>
        <n v="0.69332899967487505"/>
        <n v="0.63670051684892204"/>
        <n v="0.456299430590491"/>
        <n v="0.44029978309706502"/>
        <n v="0.330672800453575"/>
        <n v="0.51008865093679601"/>
        <n v="0.54166308944199004"/>
        <n v="0.60211800884612399"/>
        <n v="0.53227772985820299"/>
        <n v="0.53709212613767499"/>
        <n v="0.325636608651035"/>
        <n v="0.60488726136326898"/>
        <n v="0.32079528585218797"/>
        <n v="0.510871154615408"/>
        <n v="0.39316980386754402"/>
        <n v="0.42232032703975098"/>
        <n v="0.59370413368625696"/>
        <n v="0.43065823676650999"/>
        <n v="0.37653435344724601"/>
        <n v="0.53644058702320896"/>
        <n v="0.47915321955731199"/>
        <n v="0.78318570498428497"/>
        <n v="0.348466572843111"/>
        <n v="0.25011158278656997"/>
        <n v="0.491808598995984"/>
        <n v="0.57299907107070003"/>
        <n v="0.36993173520082501"/>
        <n v="0.33939840530444199"/>
        <n v="0.60518843369294095"/>
        <n v="0.67489649063930601"/>
        <n v="0.37290815776270497"/>
        <n v="0.391929696551783"/>
        <n v="0.56827437569066197"/>
        <n v="0.57886971932527598"/>
        <n v="0.61674951845624704"/>
        <n v="0.76043744322710105"/>
        <n v="0.693172566888134"/>
        <n v="0.45826732601146097"/>
        <n v="0.75107526677043901"/>
        <n v="0.46428072401602999"/>
        <n v="0.80968092098078004"/>
        <n v="0.50278705618748498"/>
        <n v="0.59897419817917097"/>
        <n v="0.389027696591978"/>
        <n v="0.61623550121308202"/>
        <n v="0.64669848012989894"/>
        <n v="0.52727642808116604"/>
        <n v="0.45417362902543201"/>
        <n v="0.47592680590638098"/>
        <n v="0.62362841110397704"/>
        <n v="0.63392741778468897"/>
        <n v="0.44354899048067398"/>
        <n v="0.32771857158116902"/>
        <n v="0.59466683184197899"/>
        <n v="0.52831073215559299"/>
        <n v="0.56383329226816603"/>
        <n v="0.62939902736891695"/>
        <n v="0.54829613846021197"/>
        <n v="0.50319108077126995"/>
        <n v="0.58135474594501602"/>
        <n v="0.52989756004160304"/>
        <n v="0.57420960885728201"/>
        <n v="0.53975281519706697"/>
        <n v="0.55091404478333805"/>
        <n v="0.60031945309981605"/>
        <n v="0.566565218290636"/>
        <n v="0.30868757987166701"/>
        <n v="0.48597946587172097"/>
        <n v="0.52356778185048902"/>
        <n v="0.48693787972512798"/>
        <n v="0.57591954631101505"/>
        <n v="0.50117989904117199"/>
        <n v="0.65636583858429598"/>
        <n v="0.52114458948099296"/>
        <n v="0.65900709346083097"/>
        <n v="0.58436315366479696"/>
        <n v="0.62961614183097403"/>
        <n v="0.63477747090365"/>
        <n v="0.72267493893255497"/>
        <n v="0.56803426525066303"/>
        <n v="0.58910191395587497"/>
        <n v="0.633869663968749"/>
        <n v="0.37398433000970899"/>
        <n v="0.61058795862958004"/>
        <n v="0.63771116844499998"/>
        <n v="0.62186981756871496"/>
        <n v="0.375590709615859"/>
        <n v="0.358644157276722"/>
        <n v="0.59272366112666897"/>
        <n v="0.75782672668447604"/>
        <n v="0.61009502633444801"/>
        <n v="0.55068128431422303"/>
        <m/>
        <n v="0.75092242022712496"/>
        <n v="0.49884281417880999"/>
        <n v="0.49206216206139503"/>
        <n v="0.504010240803756"/>
        <n v="0.43591328233084498"/>
        <n v="0.37205597246988198"/>
        <n v="0.56424506418332698"/>
        <n v="0.45863054936922498"/>
        <n v="0.62968417998110104"/>
        <n v="0.39279579683919402"/>
        <n v="0.45518855368781402"/>
        <n v="0.70221254133041"/>
        <n v="0.50378486269853595"/>
        <n v="0.326405415251249"/>
        <n v="0.45259431454134202"/>
        <n v="0.39544008479742898"/>
        <n v="0.54556009669096905"/>
        <n v="0.48085508559906198"/>
        <n v="0.72238850809571797"/>
        <n v="0.75913871840907199"/>
        <n v="0.83141630063048999"/>
        <n v="0.71983134870399701"/>
        <n v="0.52494850896075296"/>
        <n v="0.44446678997703098"/>
        <n v="0.65832720622737995"/>
        <n v="0.51585902563916597"/>
        <n v="0.66832681063363897"/>
        <n v="0.48674466760232399"/>
        <n v="0.45570301048442402"/>
        <n v="0.54782295519271496"/>
        <n v="0.481784309845596"/>
        <n v="0.575144193429724"/>
        <n v="0.65635564302087002"/>
        <n v="0.65616854478086795"/>
        <n v="0.34896216313702699"/>
        <n v="0.497212959256911"/>
        <n v="0.315838981017172"/>
        <n v="0.624378189633362"/>
        <n v="0.64562753059311795"/>
        <n v="0.53052359386306502"/>
        <n v="0.69147267645036703"/>
        <n v="0.62863600993329105"/>
        <n v="0.663409260611595"/>
        <n v="0.53709561725170596"/>
        <n v="0.39594226336872201"/>
        <n v="0.53899395865334698"/>
        <n v="0.52321466934106498"/>
        <n v="0.86522341617477805"/>
        <n v="0.70306414427542596"/>
        <n v="0.56928579071188101"/>
        <n v="0.44962574398970601"/>
        <n v="0.66066933232983105"/>
        <n v="0.56301421532481499"/>
        <n v="0.61025355441409002"/>
        <n v="0.53114445451265702"/>
        <n v="0.50719513128093596"/>
        <n v="0.44357523732231302"/>
        <n v="0.56675829854122906"/>
        <n v="0.50691333265476402"/>
        <n v="0.44343014953519"/>
        <n v="0.43295982493792901"/>
        <n v="0.43924964971817498"/>
        <n v="0.52229586438740305"/>
        <n v="0.509318450384453"/>
        <n v="0.403382900983485"/>
        <n v="0.34091351019400201"/>
        <n v="0.47923413763890199"/>
        <n v="0.30587473639040502"/>
        <n v="0.64688797753406302"/>
        <n v="0.27606335136042098"/>
        <n v="0.37591355314297697"/>
        <n v="0.494937038674026"/>
        <n v="0.96844816997527305"/>
        <n v="0.65180286387120201"/>
        <n v="0.49266968416905899"/>
        <n v="0.468226670151836"/>
        <n v="0.47743006106795399"/>
        <n v="0.59905600526890201"/>
        <n v="0.37419333383953601"/>
        <n v="0.50105849596157204"/>
        <n v="0.66898613833929599"/>
        <n v="0.49812304953321102"/>
        <n v="0.338801661794702"/>
        <n v="0.63617737708922895"/>
        <n v="0.75166672244214805"/>
        <n v="0.373766238368619"/>
        <n v="0.34327563837529601"/>
        <n v="0.86662332027367694"/>
        <n v="0.99617687982721903"/>
        <n v="0.56803579794065395"/>
        <n v="0.55228609515423999"/>
        <n v="0.43070096781507899"/>
        <n v="0.90979106511387497"/>
        <n v="0.57220892764327902"/>
        <n v="0.50916239858155798"/>
        <n v="0.40149622365372001"/>
        <n v="0.44042975559301001"/>
        <n v="0.35173457371995098"/>
        <n v="0.30457352817893202"/>
        <n v="0.41641046715764801"/>
        <n v="0.43771520956410398"/>
        <n v="0.56151638998212305"/>
        <n v="0.372207335716087"/>
        <n v="0.61912938533199202"/>
        <n v="0.51757577668002097"/>
        <n v="0.44936414161745403"/>
        <n v="0.54388999257455295"/>
        <n v="0.381187855487503"/>
        <n v="0.468595477379808"/>
        <n v="0.44520545784473903"/>
        <n v="0.56104857586808399"/>
        <n v="0.51051068692887802"/>
        <n v="0.364080017898046"/>
        <n v="0.59936340689323997"/>
        <n v="0.42655429345553703"/>
        <n v="0.549555915578962"/>
        <n v="0.63116036402317699"/>
        <n v="0.373689537157884"/>
        <n v="0.43394040399846601"/>
        <n v="0.395861328457349"/>
        <n v="0.44758486343429299"/>
        <n v="0.60306777156570801"/>
        <n v="0.41306990660223902"/>
        <n v="0.69052706409687803"/>
        <n v="0.47553025732245102"/>
        <n v="0.39804787163027699"/>
        <n v="0.44325665974263601"/>
        <n v="0.34354586464174203"/>
        <n v="0.51718807044204496"/>
        <n v="0.486242140283484"/>
        <n v="0.38291315299402501"/>
        <n v="0.44168848165925301"/>
        <n v="0.51318163416596896"/>
        <n v="0.39037911909030298"/>
        <n v="0.66855924351604701"/>
        <n v="0.46391904813951701"/>
        <n v="0.69715237753909498"/>
        <n v="0.53933529127687896"/>
        <n v="0.70543242869597"/>
        <n v="0.50500899746264405"/>
        <n v="0.73375394150039597"/>
        <n v="0.70557261907527602"/>
        <n v="0.53480104458932798"/>
        <n v="0.30568836825110202"/>
        <n v="0.54075968480473802"/>
        <n v="0.57499558765439596"/>
        <n v="0.47592902809929799"/>
        <n v="0.52386327970409596"/>
        <n v="0.517274626110512"/>
        <n v="0.59707946362949704"/>
        <n v="0.46665444128556999"/>
        <n v="0.532374352622076"/>
        <n v="0.56312852110464795"/>
        <n v="0.53462644246956903"/>
        <n v="0.53505338201149899"/>
        <n v="0.48008223782077403"/>
        <n v="0.53625247665437004"/>
        <n v="0.57903075400050896"/>
        <n v="0.50326973027305599"/>
        <n v="0.50332628406809998"/>
        <n v="0.65349722968776403"/>
        <n v="0.65369435591965597"/>
        <n v="0.65024631030755298"/>
        <n v="0.42238947229614299"/>
        <n v="0.68343472613090395"/>
        <n v="0.479099575993715"/>
        <n v="0.59028430017634304"/>
        <n v="0.417440143613236"/>
        <n v="0.67072505337275701"/>
        <n v="0.59624524806788004"/>
        <n v="0.72900128184750701"/>
        <n v="0.42128782733912901"/>
        <n v="0.59016656607977303"/>
        <n v="0.60326363524349103"/>
        <n v="0.432887519719449"/>
        <n v="0.55077289569258203"/>
        <n v="0.64618570244574203"/>
        <n v="0.45194781659400901"/>
        <n v="0.54081686397600004"/>
        <n v="0.60414981910986298"/>
        <n v="0.43385231222718601"/>
        <n v="0.44934870382039299"/>
        <n v="0.64815665488706398"/>
        <n v="0.53917810815246303"/>
        <n v="0.52225963781548401"/>
        <n v="0.59578542439974402"/>
        <n v="0.62491673962799599"/>
        <n v="0.58049588625034998"/>
        <n v="0.496544728795977"/>
        <n v="0.89830305274589195"/>
        <n v="0.49374589530082202"/>
        <n v="0.57377854149456198"/>
        <n v="0.56042618209879802"/>
        <n v="0.484325227825668"/>
        <n v="0.478307765085835"/>
        <n v="0.46262856613629999"/>
        <n v="0.58824393679658105"/>
        <n v="0.40620450031133898"/>
        <n v="0.40924032063994198"/>
        <n v="0.52802784933708102"/>
        <n v="0.50963773258348399"/>
        <n v="0.58639986236874697"/>
        <n v="0.55049276330901098"/>
        <n v="0.66905148242927703"/>
        <n v="0.45369947575074099"/>
        <n v="0.44543060698637299"/>
        <n v="0.69262078529995097"/>
        <n v="0.625047230026747"/>
        <n v="0.47835053138990302"/>
        <n v="0.60771879275378504"/>
        <n v="0.73597805617837697"/>
        <n v="0.43370761564803001"/>
        <n v="0.58431897496238705"/>
        <n v="0.46096935572653303"/>
        <n v="0.40019569996565202"/>
        <n v="0.49427028738210899"/>
        <n v="0.57221058236112399"/>
        <n v="0.43666406496194698"/>
        <n v="0.54326241798420205"/>
        <n v="0.58030943140983604"/>
        <n v="0.55450351065077996"/>
        <n v="0.93587600911817503"/>
        <n v="0.51622699277055095"/>
        <n v="0.54991241828399995"/>
        <n v="0.400985575939244"/>
        <n v="0.46177585465139398"/>
        <n v="0.38102050131561999"/>
        <n v="0.45941763654108603"/>
        <n v="0.44245770408280799"/>
        <n v="0.44839874536843199"/>
        <n v="0.36672195937417101"/>
        <n v="0.58779518763577099"/>
        <n v="0.50777335738343699"/>
        <n v="0.58695629460813303"/>
        <n v="0.52176749098455799"/>
        <n v="0.614031692407083"/>
        <n v="0.62667608812056896"/>
        <n v="0.66193445924145899"/>
        <n v="0.38574463096163802"/>
        <n v="0.637719350787748"/>
        <n v="0.37105716394126398"/>
        <n v="0.50118283101855898"/>
        <n v="0.62092962375713701"/>
        <n v="0.31581920549199999"/>
        <n v="0.64511397235756096"/>
        <n v="0.44821341709648299"/>
        <n v="0.43934452718480999"/>
        <n v="0.44207728940323898"/>
        <n v="0.76218265548081199"/>
        <n v="0.597778376894335"/>
        <n v="0.41792407597338699"/>
        <n v="0.60383925330504695"/>
        <n v="0.31813061226900502"/>
        <n v="0.63813811695340295"/>
        <n v="0.445291174427212"/>
        <n v="0.56253270232067798"/>
        <n v="0.61542836097535303"/>
        <n v="0.40816038653127301"/>
        <n v="0.38862478492679298"/>
        <n v="0.39133444992038502"/>
        <n v="0.33502833909568502"/>
        <n v="0.54699592343820103"/>
        <n v="0.50731791737786702"/>
        <n v="0.56423606223711398"/>
        <n v="0.27729762439380501"/>
        <n v="0.44644726555089398"/>
        <n v="0.36083507411269999"/>
        <n v="0.31862876859104999"/>
        <n v="0.76501964136794898"/>
        <n v="0.42262007371666699"/>
        <n v="0.68400509380887997"/>
        <n v="0.44979291243448699"/>
        <n v="0.41205281121152798"/>
        <n v="0.29983933952435898"/>
        <n v="0.64793274647044197"/>
        <n v="0.56998709259504898"/>
        <n v="0.41541352321616498"/>
        <n v="0.593562225503519"/>
        <n v="0.37704477365480898"/>
        <n v="0.39890610686509198"/>
        <n v="0.36667452972914699"/>
        <n v="0.34809449539620102"/>
        <n v="0.35766695433295298"/>
        <n v="0.50149121595764701"/>
        <n v="0.75794953744848603"/>
        <n v="0.66977386868289102"/>
        <n v="0.44846505729250202"/>
        <n v="0.38481021528570297"/>
        <n v="0.46693773333931898"/>
        <n v="0.57238522736230901"/>
        <n v="0.38893957499401799"/>
        <n v="0.46985249188655298"/>
        <n v="0.57000533942411502"/>
        <n v="0.44900773335994398"/>
        <n v="0.52780205530004398"/>
        <n v="0.49520657324112299"/>
        <n v="0.50200339602682598"/>
        <n v="0.49868494223493898"/>
        <n v="0.505921124499492"/>
        <n v="0.32872402532649603"/>
        <n v="0.43307645638067599"/>
        <n v="0.40742804106604802"/>
        <n v="0.60649063676751402"/>
        <n v="0.530094873051556"/>
        <n v="0.55122022700323603"/>
        <n v="0.65174726426729701"/>
        <n v="0.44622251831184201"/>
        <n v="0.57406418850635899"/>
        <n v="0.39999329526468402"/>
        <n v="0.72158058960211902"/>
        <n v="0.57018805513897097"/>
        <n v="0.62228193300562995"/>
        <n v="0.44068841011843102"/>
        <n v="0.50913583200132795"/>
        <n v="0.49937574405486002"/>
        <n v="0.56216667157373101"/>
        <n v="0.59595676178700996"/>
        <n v="0.49003052948889803"/>
        <n v="0.44741199861264502"/>
        <n v="0.47862401300545199"/>
        <n v="0.51511268687529599"/>
        <n v="0.49946220791505702"/>
        <n v="0.430942487405097"/>
        <n v="0.50545155157918498"/>
        <n v="0.538721908586409"/>
        <n v="0.43290890089002398"/>
        <n v="0.63760945371366595"/>
        <n v="0.53085205167987803"/>
        <n v="0.41008139365872198"/>
        <n v="0.75751222752832803"/>
        <n v="0.49153514914556401"/>
        <n v="0.51262301743572303"/>
        <n v="0.40226445495770102"/>
        <n v="0.46097801872091798"/>
        <n v="0.49815537909380297"/>
        <n v="0.43130387999576603"/>
        <n v="0.38942358197900501"/>
        <n v="0.50963774235914805"/>
        <n v="0.47575176914015799"/>
        <n v="0.65537511688867101"/>
        <n v="0.43094562117144097"/>
        <n v="0.55199089066701601"/>
        <n v="0.41380582843104202"/>
        <n v="0.47756710487009302"/>
        <n v="0.58761158290238502"/>
        <n v="0.46230243994477299"/>
        <n v="0.44626574942076602"/>
        <n v="0.561824382749466"/>
        <n v="0.610330786640088"/>
        <n v="0.58750838274450801"/>
        <n v="0.64305887997952405"/>
        <n v="0.475266732777888"/>
        <n v="0.51482796356356997"/>
        <n v="0.747104947728229"/>
        <n v="0.77903504361809395"/>
        <n v="0.78908144551497095"/>
        <n v="0.495531498462491"/>
        <n v="0.34336482459513901"/>
        <n v="0.42285803138027001"/>
        <n v="0.57729007896509998"/>
        <n v="0.493727460581452"/>
        <n v="0.483977751701823"/>
        <n v="0.31620488820209702"/>
        <n v="0.66930157000241597"/>
        <n v="0.43627677182809199"/>
        <n v="0.523372224965722"/>
        <n v="0.44356783366603397"/>
        <n v="0.45651369380256801"/>
        <n v="0.52479850078928603"/>
        <n v="0.53847782608768602"/>
        <n v="0.49361167331908501"/>
        <n v="0.59702154615699699"/>
        <n v="0.48204076135752"/>
        <n v="0.88343034756118999"/>
        <n v="0.41788051491754402"/>
        <n v="0.55915140415219"/>
        <n v="0.53469085943471495"/>
        <n v="0.52738561174431597"/>
        <n v="0.586123068301873"/>
        <n v="0.41700637078506497"/>
        <n v="0.52039671031875601"/>
        <n v="0.48726985030464498"/>
        <n v="0.67987412924503898"/>
        <n v="0.55216198582694598"/>
        <n v="0.53894419999345"/>
        <n v="0.52753332067223702"/>
        <n v="0.51236215040889099"/>
        <n v="0.53268024150117899"/>
        <n v="0.494631913031505"/>
        <n v="0.52315862611928399"/>
        <n v="0.49648332739725798"/>
        <n v="0.35307904217846597"/>
      </sharedItems>
    </cacheField>
    <cacheField name="Max speed (m/s)" numFmtId="0">
      <sharedItems containsString="0" containsBlank="1" containsNumber="1" minValue="0.25011158278656997" maxValue="6.2106352225049397"/>
    </cacheField>
    <cacheField name="Min speed (m/s)" numFmtId="0">
      <sharedItems containsString="0" containsBlank="1" containsNumber="1" minValue="2.15088601235539E-3" maxValue="0.49894546447847699"/>
    </cacheField>
    <cacheField name="Step count" numFmtId="0">
      <sharedItems containsSemiMixedTypes="0" containsString="0" containsNumber="1" containsInteger="1" minValue="43" maxValue="24893" count="535">
        <n v="202"/>
        <n v="5340"/>
        <n v="576"/>
        <n v="1942"/>
        <n v="3492"/>
        <n v="5496"/>
        <n v="16358"/>
        <n v="645"/>
        <n v="10044"/>
        <n v="323"/>
        <n v="3635"/>
        <n v="4118"/>
        <n v="7753"/>
        <n v="827"/>
        <n v="2289"/>
        <n v="9891"/>
        <n v="2253"/>
        <n v="2514"/>
        <n v="4327"/>
        <n v="5344"/>
        <n v="4307"/>
        <n v="727"/>
        <n v="3507"/>
        <n v="5620"/>
        <n v="1193"/>
        <n v="3534"/>
        <n v="4474"/>
        <n v="5533"/>
        <n v="8579"/>
        <n v="5596"/>
        <n v="20385"/>
        <n v="10620"/>
        <n v="18524"/>
        <n v="21001"/>
        <n v="14913"/>
        <n v="6312"/>
        <n v="4031"/>
        <n v="5333"/>
        <n v="7647"/>
        <n v="4764"/>
        <n v="4143"/>
        <n v="2866"/>
        <n v="1239"/>
        <n v="831"/>
        <n v="3442"/>
        <n v="7414"/>
        <n v="6382"/>
        <n v="2793"/>
        <n v="3676"/>
        <n v="250"/>
        <n v="5516"/>
        <n v="4341"/>
        <n v="3646"/>
        <n v="3940"/>
        <n v="3619"/>
        <n v="1685"/>
        <n v="1424"/>
        <n v="2221"/>
        <n v="4102"/>
        <n v="5054"/>
        <n v="4863"/>
        <n v="6199"/>
        <n v="3221"/>
        <n v="3525"/>
        <n v="365"/>
        <n v="782"/>
        <n v="3674"/>
        <n v="558"/>
        <n v="1502"/>
        <n v="3468"/>
        <n v="1599"/>
        <n v="210"/>
        <n v="1806"/>
        <n v="263"/>
        <n v="257"/>
        <n v="945"/>
        <n v="991"/>
        <n v="1108"/>
        <n v="11646"/>
        <n v="1584"/>
        <n v="848"/>
        <n v="43"/>
        <n v="803"/>
        <n v="1185"/>
        <n v="534"/>
        <n v="271"/>
        <n v="1371"/>
        <n v="4604"/>
        <n v="254"/>
        <n v="265"/>
        <n v="3084"/>
        <n v="3843"/>
        <n v="2926"/>
        <n v="4161"/>
        <n v="6244"/>
        <n v="5424"/>
        <n v="13855"/>
        <n v="7429"/>
        <n v="1867"/>
        <n v="6679"/>
        <n v="3547"/>
        <n v="5242"/>
        <n v="19898"/>
        <n v="15465"/>
        <n v="2875"/>
        <n v="7546"/>
        <n v="3907"/>
        <n v="2551"/>
        <n v="4977"/>
        <n v="734"/>
        <n v="6205"/>
        <n v="8044"/>
        <n v="8288"/>
        <n v="7482"/>
        <n v="7213"/>
        <n v="16250"/>
        <n v="3638"/>
        <n v="4036"/>
        <n v="4682"/>
        <n v="3362"/>
        <n v="5313"/>
        <n v="9040"/>
        <n v="547"/>
        <n v="5217"/>
        <n v="6301"/>
        <n v="5594"/>
        <n v="5861"/>
        <n v="5110"/>
        <n v="1370"/>
        <n v="7137"/>
        <n v="6458"/>
        <n v="5566"/>
        <n v="5353"/>
        <n v="8238"/>
        <n v="7234"/>
        <n v="8020"/>
        <n v="725"/>
        <n v="4503"/>
        <n v="1958"/>
        <n v="1552"/>
        <n v="5189"/>
        <n v="12841"/>
        <n v="167"/>
        <n v="1172"/>
        <n v="9730"/>
        <n v="3214"/>
        <n v="5485"/>
        <n v="2263"/>
        <n v="48"/>
        <n v="9146"/>
        <n v="7221"/>
        <n v="5615"/>
        <n v="4634"/>
        <n v="776"/>
        <n v="5483"/>
        <n v="8958"/>
        <n v="7938"/>
        <n v="7426"/>
        <n v="6658"/>
        <n v="7122"/>
        <n v="4163"/>
        <n v="7275"/>
        <n v="2272"/>
        <n v="12007"/>
        <n v="3070"/>
        <n v="8931"/>
        <n v="5958"/>
        <n v="6294"/>
        <n v="4065"/>
        <n v="10444"/>
        <n v="6581"/>
        <n v="5713"/>
        <n v="6834"/>
        <n v="14103"/>
        <n v="9634"/>
        <n v="8788"/>
        <n v="10254"/>
        <n v="10460"/>
        <n v="10446"/>
        <n v="12373"/>
        <n v="24575"/>
        <n v="22429"/>
        <n v="24893"/>
        <n v="3060"/>
        <n v="2167"/>
        <n v="282"/>
        <n v="7428"/>
        <n v="9635"/>
        <n v="5579"/>
        <n v="6592"/>
        <n v="5720"/>
        <n v="13001"/>
        <n v="5477"/>
        <n v="4329"/>
        <n v="8220"/>
        <n v="6741"/>
        <n v="3698"/>
        <n v="6362"/>
        <n v="6451"/>
        <n v="466"/>
        <n v="7195"/>
        <n v="3163"/>
        <n v="13426"/>
        <n v="5556"/>
        <n v="9536"/>
        <n v="752"/>
        <n v="1274"/>
        <n v="3473"/>
        <n v="3968"/>
        <n v="332"/>
        <n v="508"/>
        <n v="5282"/>
        <n v="3003"/>
        <n v="440"/>
        <n v="838"/>
        <n v="4741"/>
        <n v="243"/>
        <n v="2989"/>
        <n v="526"/>
        <n v="539"/>
        <n v="3722"/>
        <n v="306"/>
        <n v="15760"/>
        <n v="2899"/>
        <n v="4701"/>
        <n v="3027"/>
        <n v="5179"/>
        <n v="11907"/>
        <n v="7406"/>
        <n v="2460"/>
        <n v="2119"/>
        <n v="5746"/>
        <n v="3958"/>
        <n v="915"/>
        <n v="665"/>
        <n v="7054"/>
        <n v="88"/>
        <n v="5059"/>
        <n v="5279"/>
        <n v="755"/>
        <n v="667"/>
        <n v="6716"/>
        <n v="3316"/>
        <n v="492"/>
        <n v="1562"/>
        <n v="1362"/>
        <n v="384"/>
        <n v="1452"/>
        <n v="2008"/>
        <n v="3658"/>
        <n v="4313"/>
        <n v="10850"/>
        <n v="7301"/>
        <n v="3899"/>
        <n v="7100"/>
        <n v="2921"/>
        <n v="1642"/>
        <n v="2599"/>
        <n v="7851"/>
        <n v="8340"/>
        <n v="1850"/>
        <n v="7615"/>
        <n v="6430"/>
        <n v="6673"/>
        <n v="9671"/>
        <n v="4475"/>
        <n v="1042"/>
        <n v="7042"/>
        <n v="2110"/>
        <n v="11459"/>
        <n v="6091"/>
        <n v="984"/>
        <n v="7098"/>
        <n v="2370"/>
        <n v="6267"/>
        <n v="1401"/>
        <n v="1546"/>
        <n v="2277"/>
        <n v="1972"/>
        <n v="5205"/>
        <n v="1287"/>
        <n v="1183"/>
        <n v="7893"/>
        <n v="4773"/>
        <n v="968"/>
        <n v="13036"/>
        <n v="11434"/>
        <n v="7679"/>
        <n v="13755"/>
        <n v="15395"/>
        <n v="4075"/>
        <n v="314"/>
        <n v="7864"/>
        <n v="7371"/>
        <n v="7616"/>
        <n v="3418"/>
        <n v="9299"/>
        <n v="7399"/>
        <n v="9021"/>
        <n v="3641"/>
        <n v="8953"/>
        <n v="6732"/>
        <n v="6485"/>
        <n v="5893"/>
        <n v="5482"/>
        <n v="7158"/>
        <n v="7621"/>
        <n v="4251"/>
        <n v="14081"/>
        <n v="1784"/>
        <n v="14651"/>
        <n v="7393"/>
        <n v="9722"/>
        <n v="6776"/>
        <n v="10884"/>
        <n v="4667"/>
        <n v="2428"/>
        <n v="5397"/>
        <n v="10860"/>
        <n v="5130"/>
        <n v="9761"/>
        <n v="7671"/>
        <n v="2314"/>
        <n v="6885"/>
        <n v="9408"/>
        <n v="11460"/>
        <n v="6349"/>
        <n v="9961"/>
        <n v="8125"/>
        <n v="7603"/>
        <n v="12879"/>
        <n v="9182"/>
        <n v="6302"/>
        <n v="4707"/>
        <n v="6387"/>
        <n v="8586"/>
        <n v="3580"/>
        <n v="3772"/>
        <n v="6948"/>
        <n v="6190"/>
        <n v="5655"/>
        <n v="6796"/>
        <n v="8711"/>
        <n v="5864"/>
        <n v="3420"/>
        <n v="7133"/>
        <n v="176"/>
        <n v="7814"/>
        <n v="1631"/>
        <n v="9630"/>
        <n v="4263"/>
        <n v="7466"/>
        <n v="4930"/>
        <n v="5139"/>
        <n v="11423"/>
        <n v="13839"/>
        <n v="2743"/>
        <n v="9686"/>
        <n v="1033"/>
        <n v="4037"/>
        <n v="7036"/>
        <n v="4668"/>
        <n v="1035"/>
        <n v="7991"/>
        <n v="3077"/>
        <n v="6622"/>
        <n v="8150"/>
        <n v="4483"/>
        <n v="4807"/>
        <n v="5534"/>
        <n v="7203"/>
        <n v="4030"/>
        <n v="4656"/>
        <n v="5639"/>
        <n v="231"/>
        <n v="6999"/>
        <n v="4299"/>
        <n v="7547"/>
        <n v="1255"/>
        <n v="5711"/>
        <n v="8394"/>
        <n v="13951"/>
        <n v="5715"/>
        <n v="11141"/>
        <n v="11238"/>
        <n v="12098"/>
        <n v="3361"/>
        <n v="4631"/>
        <n v="1691"/>
        <n v="4672"/>
        <n v="7474"/>
        <n v="232"/>
        <n v="4088"/>
        <n v="2020"/>
        <n v="3269"/>
        <n v="2737"/>
        <n v="13837"/>
        <n v="5797"/>
        <n v="5411"/>
        <n v="8938"/>
        <n v="206"/>
        <n v="8362"/>
        <n v="4684"/>
        <n v="4004"/>
        <n v="10178"/>
        <n v="533"/>
        <n v="619"/>
        <n v="3919"/>
        <n v="1051"/>
        <n v="3426"/>
        <n v="4155"/>
        <n v="5127"/>
        <n v="74"/>
        <n v="3133"/>
        <n v="2055"/>
        <n v="247"/>
        <n v="5948"/>
        <n v="2628"/>
        <n v="4424"/>
        <n v="4431"/>
        <n v="2529"/>
        <n v="279"/>
        <n v="6733"/>
        <n v="4100"/>
        <n v="6714"/>
        <n v="6537"/>
        <n v="2440"/>
        <n v="1118"/>
        <n v="1164"/>
        <n v="17321"/>
        <n v="702"/>
        <n v="7818"/>
        <n v="3043"/>
        <n v="5593"/>
        <n v="4980"/>
        <n v="2053"/>
        <n v="8494"/>
        <n v="5993"/>
        <n v="4002"/>
        <n v="16159"/>
        <n v="8329"/>
        <n v="4774"/>
        <n v="4196"/>
        <n v="5557"/>
        <n v="1286"/>
        <n v="5847"/>
        <n v="6319"/>
        <n v="9543"/>
        <n v="4725"/>
        <n v="5052"/>
        <n v="4272"/>
        <n v="6793"/>
        <n v="7223"/>
        <n v="1569"/>
        <n v="7828"/>
        <n v="7714"/>
        <n v="5220"/>
        <n v="1902"/>
        <n v="4907"/>
        <n v="5126"/>
        <n v="12645"/>
        <n v="13949"/>
        <n v="9933"/>
        <n v="7306"/>
        <n v="3288"/>
        <n v="5295"/>
        <n v="6632"/>
        <n v="7011"/>
        <n v="8666"/>
        <n v="6769"/>
        <n v="5158"/>
        <n v="7237"/>
        <n v="3403"/>
        <n v="8017"/>
        <n v="2903"/>
        <n v="15103"/>
        <n v="11096"/>
        <n v="5379"/>
        <n v="10484"/>
        <n v="7990"/>
        <n v="8719"/>
        <n v="1001"/>
        <n v="6629"/>
        <n v="9505"/>
        <n v="7312"/>
        <n v="9815"/>
        <n v="7427"/>
        <n v="6408"/>
        <n v="9844"/>
        <n v="7748"/>
        <n v="4337"/>
        <n v="5605"/>
        <n v="15414"/>
        <n v="5805"/>
        <n v="11546"/>
        <n v="6996"/>
        <n v="9599"/>
        <n v="7224"/>
        <n v="13201"/>
        <n v="3215"/>
        <n v="1119"/>
        <n v="2300"/>
        <n v="8764"/>
        <n v="11517"/>
        <n v="11094"/>
        <n v="1927"/>
        <n v="3150"/>
        <n v="1014"/>
        <n v="8077"/>
        <n v="4288"/>
        <n v="11303"/>
        <n v="5157"/>
        <n v="9696"/>
        <n v="10329"/>
        <n v="6711"/>
        <n v="8072"/>
        <n v="4481"/>
        <n v="6218"/>
        <n v="8115"/>
        <n v="8093"/>
        <n v="8273"/>
        <n v="6803"/>
        <n v="1296"/>
        <n v="5952"/>
        <n v="8307"/>
        <n v="8107"/>
        <n v="6092"/>
        <n v="5155"/>
        <n v="6881"/>
        <n v="9683"/>
        <n v="11603"/>
        <n v="9551"/>
        <n v="9087"/>
        <n v="3721"/>
        <n v="1310"/>
      </sharedItems>
    </cacheField>
    <cacheField name="Average weight (kg)" numFmtId="0">
      <sharedItems containsString="0" containsBlank="1" containsNumber="1" minValue="65.819999694824205" maxValue="70" count="3">
        <n v="70"/>
        <m/>
        <n v="65.819999694824205"/>
      </sharedItems>
    </cacheField>
    <cacheField name="Max weight (kg)" numFmtId="0">
      <sharedItems containsString="0" containsBlank="1" containsNumber="1" minValue="65.819999694824205" maxValue="70"/>
    </cacheField>
    <cacheField name="Min weight (kg)" numFmtId="0">
      <sharedItems containsString="0" containsBlank="1" containsNumber="1" minValue="65.819999694824205" maxValue="70"/>
    </cacheField>
    <cacheField name="Cycling duration (ms)" numFmtId="0">
      <sharedItems containsString="0" containsBlank="1" containsNumber="1" containsInteger="1" minValue="195768" maxValue="7284445" count="331">
        <m/>
        <n v="1983437"/>
        <n v="1515235"/>
        <n v="1680300"/>
        <n v="2345058"/>
        <n v="2555086"/>
        <n v="1780213"/>
        <n v="1025848"/>
        <n v="3105073"/>
        <n v="2416413"/>
        <n v="1880490"/>
        <n v="1548392"/>
        <n v="2813230"/>
        <n v="2419843"/>
        <n v="1659313"/>
        <n v="633370"/>
        <n v="2369658"/>
        <n v="1927604"/>
        <n v="1405918"/>
        <n v="3517427"/>
        <n v="1560283"/>
        <n v="1700788"/>
        <n v="3575274"/>
        <n v="1211879"/>
        <n v="706598"/>
        <n v="3572642"/>
        <n v="6154921"/>
        <n v="1033287"/>
        <n v="1378641"/>
        <n v="1655528"/>
        <n v="1551641"/>
        <n v="1825266"/>
        <n v="3308771"/>
        <n v="3093362"/>
        <n v="1322084"/>
        <n v="1777849"/>
        <n v="729209"/>
        <n v="3485283"/>
        <n v="1087226"/>
        <n v="3142920"/>
        <n v="1815784"/>
        <n v="2479405"/>
        <n v="1760120"/>
        <n v="1931492"/>
        <n v="4470191"/>
        <n v="894258"/>
        <n v="1316355"/>
        <n v="2232812"/>
        <n v="1949709"/>
        <n v="1201154"/>
        <n v="1707066"/>
        <n v="1113504"/>
        <n v="2131990"/>
        <n v="1341175"/>
        <n v="1661354"/>
        <n v="1374410"/>
        <n v="2231149"/>
        <n v="7284445"/>
        <n v="712741"/>
        <n v="1381382"/>
        <n v="3213890"/>
        <n v="2120661"/>
        <n v="3201435"/>
        <n v="5282124"/>
        <n v="3544707"/>
        <n v="2139381"/>
        <n v="1587448"/>
        <n v="1547739"/>
        <n v="2524732"/>
        <n v="3224376"/>
        <n v="2810147"/>
        <n v="793995"/>
        <n v="1295382"/>
        <n v="754468"/>
        <n v="2267070"/>
        <n v="2607597"/>
        <n v="1063999"/>
        <n v="962008"/>
        <n v="865846"/>
        <n v="1055036"/>
        <n v="653858"/>
        <n v="1490819"/>
        <n v="3068244"/>
        <n v="1209407"/>
        <n v="3429498"/>
        <n v="2856955"/>
        <n v="2601769"/>
        <n v="1330722"/>
        <n v="1664110"/>
        <n v="2307674"/>
        <n v="2888311"/>
        <n v="669989"/>
        <n v="1717595"/>
        <n v="778317"/>
        <n v="855808"/>
        <n v="771151"/>
        <n v="1932369"/>
        <n v="1622908"/>
        <n v="1393792"/>
        <n v="591380"/>
        <n v="1513916"/>
        <n v="1596201"/>
        <n v="1180589"/>
        <n v="2734121"/>
        <n v="1429863"/>
        <n v="1667426"/>
        <n v="2205006"/>
        <n v="1794776"/>
        <n v="2106133"/>
        <n v="1189845"/>
        <n v="998897"/>
        <n v="975911"/>
        <n v="1098409"/>
        <n v="1058574"/>
        <n v="2191881"/>
        <n v="727094"/>
        <n v="2835632"/>
        <n v="537394"/>
        <n v="813710"/>
        <n v="1276340"/>
        <n v="699051"/>
        <n v="765913"/>
        <n v="2963351"/>
        <n v="2821105"/>
        <n v="1208254"/>
        <n v="1535533"/>
        <n v="1800474"/>
        <n v="849148"/>
        <n v="1584186"/>
        <n v="1593104"/>
        <n v="1731858"/>
        <n v="1689798"/>
        <n v="812334"/>
        <n v="664332"/>
        <n v="3832563"/>
        <n v="2159306"/>
        <n v="1092462"/>
        <n v="1706083"/>
        <n v="1902317"/>
        <n v="195768"/>
        <n v="1785141"/>
        <n v="658830"/>
        <n v="857971"/>
        <n v="1928467"/>
        <n v="2997528"/>
        <n v="1387369"/>
        <n v="798106"/>
        <n v="2322383"/>
        <n v="5634090"/>
        <n v="2335480"/>
        <n v="5378678"/>
        <n v="6822802"/>
        <n v="3981273"/>
        <n v="4098049"/>
        <n v="1061538"/>
        <n v="1817423"/>
        <n v="677822"/>
        <n v="413747"/>
        <n v="801614"/>
        <n v="4846208"/>
        <n v="2770647"/>
        <n v="3637083"/>
        <n v="2075309"/>
        <n v="1973671"/>
        <n v="1936583"/>
        <n v="546820"/>
        <n v="3429135"/>
        <n v="2502478"/>
        <n v="2685512"/>
        <n v="4572431"/>
        <n v="2394686"/>
        <n v="1742804"/>
        <n v="1163004"/>
        <n v="978254"/>
        <n v="1757818"/>
        <n v="2189926"/>
        <n v="1093181"/>
        <n v="2696408"/>
        <n v="900530"/>
        <n v="2008372"/>
        <n v="2312744"/>
        <n v="904368"/>
        <n v="1623810"/>
        <n v="1578408"/>
        <n v="1093454"/>
        <n v="2180674"/>
        <n v="646956"/>
        <n v="2182632"/>
        <n v="3318781"/>
        <n v="2181054"/>
        <n v="1777841"/>
        <n v="473141"/>
        <n v="3304195"/>
        <n v="4747291"/>
        <n v="1359799"/>
        <n v="3106678"/>
        <n v="2444904"/>
        <n v="2217400"/>
        <n v="605280"/>
        <n v="1526816"/>
        <n v="4048520"/>
        <n v="2636344"/>
        <n v="3823936"/>
        <n v="2036482"/>
        <n v="4317631"/>
        <n v="924423"/>
        <n v="1322286"/>
        <n v="989886"/>
        <n v="3630349"/>
        <n v="1842071"/>
        <n v="1892058"/>
        <n v="878333"/>
        <n v="3639118"/>
        <n v="1649178"/>
        <n v="1717252"/>
        <n v="2488187"/>
        <n v="578004"/>
        <n v="1336624"/>
        <n v="659127"/>
        <n v="2851428"/>
        <n v="1766331"/>
        <n v="2593345"/>
        <n v="2333477"/>
        <n v="1669206"/>
        <n v="1337537"/>
        <n v="2367310"/>
        <n v="614566"/>
        <n v="2223768"/>
        <n v="802990"/>
        <n v="2716483"/>
        <n v="3156290"/>
        <n v="473340"/>
        <n v="945377"/>
        <n v="2731281"/>
        <n v="2667231"/>
        <n v="1664866"/>
        <n v="2274224"/>
        <n v="2081737"/>
        <n v="1823860"/>
        <n v="1090767"/>
        <n v="1626444"/>
        <n v="960318"/>
        <n v="1261791"/>
        <n v="591035"/>
        <n v="1846464"/>
        <n v="2594934"/>
        <n v="1716992"/>
        <n v="2057678"/>
        <n v="1113095"/>
        <n v="580671"/>
        <n v="1832661"/>
        <n v="3755644"/>
        <n v="1503324"/>
        <n v="1010528"/>
        <n v="2984026"/>
        <n v="2083772"/>
        <n v="3672398"/>
        <n v="539195"/>
        <n v="771034"/>
        <n v="1887795"/>
        <n v="1015912"/>
        <n v="214886"/>
        <n v="2159533"/>
        <n v="2958815"/>
        <n v="2370590"/>
        <n v="1176610"/>
        <n v="1581184"/>
        <n v="862070"/>
        <n v="2203808"/>
        <n v="604901"/>
        <n v="1583271"/>
        <n v="2006997"/>
        <n v="2057483"/>
        <n v="1918912"/>
        <n v="1466430"/>
        <n v="951808"/>
        <n v="477242"/>
        <n v="864358"/>
        <n v="1181264"/>
        <n v="1566203"/>
        <n v="1251280"/>
        <n v="903194"/>
        <n v="910138"/>
        <n v="1070181"/>
        <n v="1854641"/>
        <n v="1629632"/>
        <n v="605042"/>
        <n v="1829280"/>
        <n v="545057"/>
        <n v="816469"/>
        <n v="2401837"/>
        <n v="2598561"/>
        <n v="693299"/>
        <n v="1307605"/>
        <n v="1036384"/>
        <n v="1931562"/>
        <n v="771488"/>
        <n v="1826785"/>
        <n v="619622"/>
        <n v="1770331"/>
        <n v="908465"/>
        <n v="970804"/>
        <n v="1723800"/>
        <n v="1733947"/>
        <n v="2205287"/>
        <n v="1400760"/>
        <n v="1799596"/>
        <n v="1662161"/>
        <n v="798861"/>
        <n v="1244493"/>
        <n v="2515802"/>
        <n v="3292102"/>
        <n v="1902055"/>
        <n v="2059252"/>
        <n v="2475697"/>
        <n v="2104065"/>
        <n v="1111210"/>
        <n v="1708838"/>
        <n v="2202243"/>
        <n v="1727737"/>
        <n v="2125195"/>
        <n v="2245614"/>
        <n v="867152"/>
        <n v="1202233"/>
        <n v="1678897"/>
        <n v="2489692"/>
        <n v="1190500"/>
        <n v="2397732"/>
        <n v="1655204"/>
        <n v="2820293"/>
        <n v="1127899"/>
      </sharedItems>
    </cacheField>
    <cacheField name="Inactive duration (ms)" numFmtId="0">
      <sharedItems containsString="0" containsBlank="1" containsNumber="1" containsInteger="1" minValue="1154" maxValue="18027" count="5">
        <m/>
        <n v="18027"/>
        <n v="9356"/>
        <n v="4923"/>
        <n v="1154"/>
      </sharedItems>
    </cacheField>
    <cacheField name="Walking duration (ms)" numFmtId="0">
      <sharedItems containsString="0" containsBlank="1" containsNumber="1" containsInteger="1" minValue="33806" maxValue="14965979" count="530">
        <m/>
        <n v="2695964"/>
        <n v="769698"/>
        <n v="740402"/>
        <n v="1828029"/>
        <n v="4287983"/>
        <n v="8197883"/>
        <n v="462154"/>
        <n v="3947019"/>
        <n v="84543"/>
        <n v="1753334"/>
        <n v="2621751"/>
        <n v="4756689"/>
        <n v="1481061"/>
        <n v="1767175"/>
        <n v="6683613"/>
        <n v="681376"/>
        <n v="1974256"/>
        <n v="2633945"/>
        <n v="3331607"/>
        <n v="2302641"/>
        <n v="1276784"/>
        <n v="1979858"/>
        <n v="4653854"/>
        <n v="767555"/>
        <n v="1626246"/>
        <n v="2610237"/>
        <n v="3597828"/>
        <n v="4232925"/>
        <n v="3368197"/>
        <n v="10559792"/>
        <n v="4238390"/>
        <n v="9036325"/>
        <n v="9770852"/>
        <n v="9577928"/>
        <n v="4550718"/>
        <n v="3217365"/>
        <n v="3377557"/>
        <n v="2553299"/>
        <n v="2680604"/>
        <n v="3150237"/>
        <n v="2037235"/>
        <n v="711406"/>
        <n v="261884"/>
        <n v="1910844"/>
        <n v="4577586"/>
        <n v="4214624"/>
        <n v="1955367"/>
        <n v="3434345"/>
        <n v="109910"/>
        <n v="2664973"/>
        <n v="2744013"/>
        <n v="2397629"/>
        <n v="2213273"/>
        <n v="2619959"/>
        <n v="1108513"/>
        <n v="832829"/>
        <n v="2874336"/>
        <n v="3836879"/>
        <n v="2845310"/>
        <n v="4688376"/>
        <n v="2086590"/>
        <n v="4698961"/>
        <n v="33806"/>
        <n v="445751"/>
        <n v="2186405"/>
        <n v="433079"/>
        <n v="196206"/>
        <n v="2069183"/>
        <n v="391406"/>
        <n v="573985"/>
        <n v="1118096"/>
        <n v="635077"/>
        <n v="367303"/>
        <n v="526889"/>
        <n v="6903504"/>
        <n v="1099930"/>
        <n v="3213317"/>
        <n v="148781"/>
        <n v="276979"/>
        <n v="931448"/>
        <n v="370821"/>
        <n v="2782871"/>
        <n v="1172895"/>
        <n v="1628730"/>
        <n v="2091404"/>
        <n v="1420150"/>
        <n v="3244883"/>
        <n v="3190239"/>
        <n v="2570225"/>
        <n v="8200964"/>
        <n v="2917819"/>
        <n v="861688"/>
        <n v="3183566"/>
        <n v="1745294"/>
        <n v="2916785"/>
        <n v="13125504"/>
        <n v="9458086"/>
        <n v="1499616"/>
        <n v="4400428"/>
        <n v="2384888"/>
        <n v="1900416"/>
        <n v="2830783"/>
        <n v="2536732"/>
        <n v="435332"/>
        <n v="4580573"/>
        <n v="5808271"/>
        <n v="6292678"/>
        <n v="2140664"/>
        <n v="5404692"/>
        <n v="5492633"/>
        <n v="10216848"/>
        <n v="2778353"/>
        <n v="2338134"/>
        <n v="2456201"/>
        <n v="1392375"/>
        <n v="4143030"/>
        <n v="5723574"/>
        <n v="101459"/>
        <n v="2660462"/>
        <n v="3717718"/>
        <n v="3651721"/>
        <n v="3311643"/>
        <n v="2384145"/>
        <n v="494293"/>
        <n v="1376962"/>
        <n v="4517969"/>
        <n v="2812875"/>
        <n v="4070236"/>
        <n v="4886261"/>
        <n v="4427768"/>
        <n v="4122879"/>
        <n v="662223"/>
        <n v="2951038"/>
        <n v="1333882"/>
        <n v="752396"/>
        <n v="3082126"/>
        <n v="8330794"/>
        <n v="88389"/>
        <n v="450515"/>
        <n v="6383693"/>
        <n v="2011374"/>
        <n v="2653451"/>
        <n v="1408347"/>
        <n v="5827861"/>
        <n v="2958209"/>
        <n v="4104147"/>
        <n v="3011114"/>
        <n v="308183"/>
        <n v="4093827"/>
        <n v="4797665"/>
        <n v="5796593"/>
        <n v="3060750"/>
        <n v="3437049"/>
        <n v="1730186"/>
        <n v="2678139"/>
        <n v="5503738"/>
        <n v="838187"/>
        <n v="8189265"/>
        <n v="1696444"/>
        <n v="5251945"/>
        <n v="5424118"/>
        <n v="5066869"/>
        <n v="2419700"/>
        <n v="6214111"/>
        <n v="5093939"/>
        <n v="2925674"/>
        <n v="3784936"/>
        <n v="9047814"/>
        <n v="6903453"/>
        <n v="2950084"/>
        <n v="3345437"/>
        <n v="3858940"/>
        <n v="6176340"/>
        <n v="6715845"/>
        <n v="14965979"/>
        <n v="13068382"/>
        <n v="14597563"/>
        <n v="1601554"/>
        <n v="1648060"/>
        <n v="5206742"/>
        <n v="6766845"/>
        <n v="3417477"/>
        <n v="4288486"/>
        <n v="2900946"/>
        <n v="9470062"/>
        <n v="3852982"/>
        <n v="3087784"/>
        <n v="5713483"/>
        <n v="4527459"/>
        <n v="2253394"/>
        <n v="4921894"/>
        <n v="2394081"/>
        <n v="475749"/>
        <n v="5517303"/>
        <n v="1622599"/>
        <n v="9035896"/>
        <n v="3565496"/>
        <n v="6829747"/>
        <n v="950466"/>
        <n v="1009738"/>
        <n v="2031084"/>
        <n v="3129798"/>
        <n v="299311"/>
        <n v="360938"/>
        <n v="3791878"/>
        <n v="3019656"/>
        <n v="260513"/>
        <n v="381440"/>
        <n v="2890298"/>
        <n v="153854"/>
        <n v="2661087"/>
        <n v="176727"/>
        <n v="169106"/>
        <n v="2665682"/>
        <n v="1684388"/>
        <n v="42264"/>
        <n v="9804220"/>
        <n v="1895974"/>
        <n v="2911745"/>
        <n v="2008437"/>
        <n v="2718788"/>
        <n v="7212616"/>
        <n v="5863133"/>
        <n v="729798"/>
        <n v="1084184"/>
        <n v="4153590"/>
        <n v="2541210"/>
        <n v="704580"/>
        <n v="101435"/>
        <n v="4466862"/>
        <n v="233631"/>
        <n v="2395752"/>
        <n v="3104863"/>
        <n v="421014"/>
        <n v="494995"/>
        <n v="4079849"/>
        <n v="2038977"/>
        <n v="67625"/>
        <n v="1390336"/>
        <n v="846193"/>
        <n v="50195"/>
        <n v="1528390"/>
        <n v="1294357"/>
        <n v="1960547"/>
        <n v="2301394"/>
        <n v="7822107"/>
        <n v="3963205"/>
        <n v="2736028"/>
        <n v="3825867"/>
        <n v="1293290"/>
        <n v="1059572"/>
        <n v="1879624"/>
        <n v="3526509"/>
        <n v="4198913"/>
        <n v="622262"/>
        <n v="3975984"/>
        <n v="1840569"/>
        <n v="2692505"/>
        <n v="5543541"/>
        <n v="2211929"/>
        <n v="558162"/>
        <n v="4449425"/>
        <n v="621001"/>
        <n v="7016024"/>
        <n v="4518205"/>
        <n v="960751"/>
        <n v="5144049"/>
        <n v="651455"/>
        <n v="4558760"/>
        <n v="972231"/>
        <n v="1306193"/>
        <n v="1029572"/>
        <n v="1799101"/>
        <n v="2507644"/>
        <n v="534487"/>
        <n v="1901250"/>
        <n v="4384615"/>
        <n v="2007662"/>
        <n v="391413"/>
        <n v="8939592"/>
        <n v="7690455"/>
        <n v="4970249"/>
        <n v="8756590"/>
        <n v="9970179"/>
        <n v="2955062"/>
        <n v="269987"/>
        <n v="3626331"/>
        <n v="4912332"/>
        <n v="4974804"/>
        <n v="1628748"/>
        <n v="4384118"/>
        <n v="4700036"/>
        <n v="4802550"/>
        <n v="1851386"/>
        <n v="5447683"/>
        <n v="3852531"/>
        <n v="4676662"/>
        <n v="3485048"/>
        <n v="3476851"/>
        <n v="3806690"/>
        <n v="3964505"/>
        <n v="3053986"/>
        <n v="9159302"/>
        <n v="1225765"/>
        <n v="8321205"/>
        <n v="5003049"/>
        <n v="5370247"/>
        <n v="4587851"/>
        <n v="5887672"/>
        <n v="4035520"/>
        <n v="1356414"/>
        <n v="3419524"/>
        <n v="6677944"/>
        <n v="4227127"/>
        <n v="5125914"/>
        <n v="5303846"/>
        <n v="2653984"/>
        <n v="3821976"/>
        <n v="6163476"/>
        <n v="7556456"/>
        <n v="3585440"/>
        <n v="5844163"/>
        <n v="4666709"/>
        <n v="4846241"/>
        <n v="6406929"/>
        <n v="4097816"/>
        <n v="3597288"/>
        <n v="2377696"/>
        <n v="3952117"/>
        <n v="4685471"/>
        <n v="2922260"/>
        <n v="1651258"/>
        <n v="4562554"/>
        <n v="3286674"/>
        <n v="3244634"/>
        <n v="3836038"/>
        <n v="5326618"/>
        <n v="3360580"/>
        <n v="2305825"/>
        <n v="4976609"/>
        <n v="4107927"/>
        <n v="772308"/>
        <n v="5685865"/>
        <n v="1982660"/>
        <n v="6123694"/>
        <n v="3176558"/>
        <n v="3234382"/>
        <n v="5509944"/>
        <n v="8489442"/>
        <n v="1832226"/>
        <n v="5681926"/>
        <n v="434824"/>
        <n v="2515669"/>
        <n v="5076224"/>
        <n v="2749427"/>
        <n v="710714"/>
        <n v="4150844"/>
        <n v="3231014"/>
        <n v="1559367"/>
        <n v="5613512"/>
        <n v="2403569"/>
        <n v="3339867"/>
        <n v="3819756"/>
        <n v="4520964"/>
        <n v="1783549"/>
        <n v="2984863"/>
        <n v="3775985"/>
        <n v="91349"/>
        <n v="3453074"/>
        <n v="2866719"/>
        <n v="2611052"/>
        <n v="676610"/>
        <n v="3460460"/>
        <n v="5455329"/>
        <n v="8504497"/>
        <n v="3506515"/>
        <n v="6798210"/>
        <n v="8135064"/>
        <n v="7786933"/>
        <n v="2525292"/>
        <n v="2547110"/>
        <n v="1304248"/>
        <n v="2992080"/>
        <n v="3772005"/>
        <n v="2242648"/>
        <n v="992224"/>
        <n v="2378032"/>
        <n v="1397415"/>
        <n v="8738455"/>
        <n v="2747417"/>
        <n v="3273645"/>
        <n v="5345540"/>
        <n v="288747"/>
        <n v="4176042"/>
        <n v="2939986"/>
        <n v="1430950"/>
        <n v="4976909"/>
        <n v="169573"/>
        <n v="621053"/>
        <n v="2493145"/>
        <n v="1829559"/>
        <n v="2271484"/>
        <n v="2468596"/>
        <n v="1358388"/>
        <n v="936296"/>
        <n v="3792848"/>
        <n v="1687488"/>
        <n v="2884705"/>
        <n v="3081546"/>
        <n v="1862418"/>
        <n v="92585"/>
        <n v="4569305"/>
        <n v="2418227"/>
        <n v="886755"/>
        <n v="3594431"/>
        <n v="3017129"/>
        <n v="1954614"/>
        <n v="1060769"/>
        <n v="490161"/>
        <n v="225123"/>
        <n v="11262453"/>
        <n v="747574"/>
        <n v="5418885"/>
        <n v="1964782"/>
        <n v="4159726"/>
        <n v="4800210"/>
        <n v="6036777"/>
        <n v="766846"/>
        <n v="5326013"/>
        <n v="4188606"/>
        <n v="1805804"/>
        <n v="10886003"/>
        <n v="4020463"/>
        <n v="2645343"/>
        <n v="2109983"/>
        <n v="2820734"/>
        <n v="319347"/>
        <n v="4391164"/>
        <n v="2841120"/>
        <n v="5809171"/>
        <n v="1586818"/>
        <n v="2548456"/>
        <n v="2659996"/>
        <n v="4814666"/>
        <n v="5200293"/>
        <n v="563093"/>
        <n v="5240092"/>
        <n v="4897265"/>
        <n v="3586780"/>
        <n v="900998"/>
        <n v="3158004"/>
        <n v="3482474"/>
        <n v="8273870"/>
        <n v="7830270"/>
        <n v="4408905"/>
        <n v="3316527"/>
        <n v="1406025"/>
        <n v="3263548"/>
        <n v="4615975"/>
        <n v="4077944"/>
        <n v="4521266"/>
        <n v="3951466"/>
        <n v="2768479"/>
        <n v="5146384"/>
        <n v="2040223"/>
        <n v="4216618"/>
        <n v="2450963"/>
        <n v="9837487"/>
        <n v="6277723"/>
        <n v="2889241"/>
        <n v="5533926"/>
        <n v="4182498"/>
        <n v="5805917"/>
        <n v="97890"/>
        <n v="3116143"/>
        <n v="3047267"/>
        <n v="6732392"/>
        <n v="4637332"/>
        <n v="4321974"/>
        <n v="4565703"/>
        <n v="4385978"/>
        <n v="5858595"/>
        <n v="4790883"/>
        <n v="6516878"/>
        <n v="2753497"/>
        <n v="3939432"/>
        <n v="11002669"/>
        <n v="3015430"/>
        <n v="6057167"/>
        <n v="5035332"/>
        <n v="7111981"/>
        <n v="5505835"/>
        <n v="12670151"/>
        <n v="1812786"/>
        <n v="956904"/>
        <n v="590782"/>
        <n v="5076156"/>
        <n v="7256678"/>
        <n v="7134713"/>
        <n v="135343"/>
        <n v="2990711"/>
        <n v="1024369"/>
        <n v="5700555"/>
        <n v="2169659"/>
        <n v="6292359"/>
        <n v="4015244"/>
        <n v="6911653"/>
        <n v="6670298"/>
        <n v="3947789"/>
        <n v="3466342"/>
        <n v="1654847"/>
        <n v="3769737"/>
        <n v="4466391"/>
        <n v="4093177"/>
        <n v="4460463"/>
        <n v="4392087"/>
        <n v="373300"/>
        <n v="3769568"/>
        <n v="4449492"/>
        <n v="5168335"/>
        <n v="3122694"/>
        <n v="3406139"/>
        <n v="4214642"/>
        <n v="7254235"/>
        <n v="7492860"/>
        <n v="7176392"/>
        <n v="6869460"/>
        <n v="2702945"/>
        <n v="684228"/>
      </sharedItems>
    </cacheField>
    <cacheField name="Running duration (ms)" numFmtId="0">
      <sharedItems containsString="0" containsBlank="1" containsNumber="1" containsInteger="1" minValue="33803" maxValue="600000" count="41">
        <m/>
        <n v="83289"/>
        <n v="472740"/>
        <n v="67625"/>
        <n v="144374"/>
        <n v="170044"/>
        <n v="100403"/>
        <n v="116853"/>
        <n v="84485"/>
        <n v="100187"/>
        <n v="106149"/>
        <n v="169974"/>
        <n v="101422"/>
        <n v="83347"/>
        <n v="101582"/>
        <n v="83391"/>
        <n v="177015"/>
        <n v="85956"/>
        <n v="183674"/>
        <n v="153667"/>
        <n v="256101"/>
        <n v="84156"/>
        <n v="66330"/>
        <n v="279744"/>
        <n v="33803"/>
        <n v="136868"/>
        <n v="67607"/>
        <n v="84506"/>
        <n v="184781"/>
        <n v="109043"/>
        <n v="93602"/>
        <n v="101507"/>
        <n v="600000"/>
        <n v="345819"/>
        <n v="58576"/>
        <n v="295343"/>
        <n v="172012"/>
        <n v="84617"/>
        <n v="67611"/>
        <n v="213869"/>
        <n v="281077"/>
      </sharedItems>
    </cacheField>
    <cacheField name="Dancing duration (ms)" numFmtId="0">
      <sharedItems containsString="0" containsBlank="1" containsNumber="1" containsInteger="1" minValue="900000" maxValue="900000" count="2">
        <m/>
        <n v="900000"/>
      </sharedItems>
    </cacheField>
    <cacheField name="P90x duration (ms)" numFmtId="0">
      <sharedItems containsString="0" containsBlank="1" containsNumber="1" containsInteger="1" minValue="1500000" maxValue="3900000" count="4">
        <m/>
        <n v="1500000"/>
        <n v="3900000"/>
        <n v="1800000"/>
      </sharedItems>
    </cacheField>
    <cacheField name="Yoga duration (ms)" numFmtId="0">
      <sharedItems containsString="0" containsBlank="1" containsNumber="1" containsInteger="1" minValue="4417" maxValue="4417" count="2">
        <m/>
        <n v="4417"/>
      </sharedItems>
    </cacheField>
    <cacheField name="Other duration (ms)" numFmtId="0">
      <sharedItems containsString="0" containsBlank="1" containsNumber="1" containsInteger="1" minValue="43468" maxValue="2522502" count="18">
        <m/>
        <n v="338827"/>
        <n v="1103742"/>
        <n v="2522502"/>
        <n v="583519"/>
        <n v="2168417"/>
        <n v="423172"/>
        <n v="1501984"/>
        <n v="1921119"/>
        <n v="43468"/>
        <n v="96398"/>
        <n v="363744"/>
        <n v="1509753"/>
        <n v="1456244"/>
        <n v="1509843"/>
        <n v="1166552"/>
        <n v="1717351"/>
        <n v="1280426"/>
      </sharedItems>
    </cacheField>
    <cacheField name="Quarters" numFmtId="0" databaseField="0">
      <fieldGroup base="0">
        <rangePr groupBy="quarters" startDate="2023-10-15T00:00:00" endDate="2025-04-13T00:00:00"/>
        <groupItems count="6">
          <s v="&lt;10/15/2023"/>
          <s v="Qtr1"/>
          <s v="Qtr2"/>
          <s v="Qtr3"/>
          <s v="Qtr4"/>
          <s v="&gt;4/13/2025"/>
        </groupItems>
      </fieldGroup>
    </cacheField>
    <cacheField name="Years" numFmtId="0" databaseField="0">
      <fieldGroup base="0">
        <rangePr groupBy="years" startDate="2023-10-15T00:00:00" endDate="2025-04-13T00:00:00"/>
        <groupItems count="5">
          <s v="&lt;10/15/2023"/>
          <s v="2023"/>
          <s v="2024"/>
          <s v="2025"/>
          <s v="&gt;4/13/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46">
  <r>
    <x v="0"/>
    <x v="0"/>
    <x v="0"/>
    <x v="0"/>
    <x v="0"/>
    <m/>
    <m/>
    <m/>
    <m/>
    <m/>
    <x v="0"/>
    <n v="0.41731434680928797"/>
    <n v="0.30448366600104099"/>
    <x v="0"/>
    <x v="0"/>
    <n v="70"/>
    <n v="70"/>
    <x v="0"/>
    <x v="0"/>
    <x v="0"/>
    <x v="0"/>
    <x v="0"/>
    <x v="0"/>
    <x v="0"/>
    <x v="0"/>
  </r>
  <r>
    <x v="1"/>
    <x v="1"/>
    <x v="1"/>
    <x v="1"/>
    <x v="1"/>
    <n v="5"/>
    <m/>
    <m/>
    <m/>
    <m/>
    <x v="1"/>
    <n v="1.5781752798133399"/>
    <n v="0.26098599942946399"/>
    <x v="1"/>
    <x v="1"/>
    <m/>
    <m/>
    <x v="0"/>
    <x v="0"/>
    <x v="1"/>
    <x v="0"/>
    <x v="0"/>
    <x v="0"/>
    <x v="0"/>
    <x v="0"/>
  </r>
  <r>
    <x v="2"/>
    <x v="2"/>
    <x v="2"/>
    <x v="2"/>
    <x v="0"/>
    <m/>
    <m/>
    <m/>
    <m/>
    <m/>
    <x v="2"/>
    <n v="0.778700154730946"/>
    <n v="0.25011158278656997"/>
    <x v="2"/>
    <x v="1"/>
    <m/>
    <m/>
    <x v="0"/>
    <x v="0"/>
    <x v="2"/>
    <x v="0"/>
    <x v="0"/>
    <x v="0"/>
    <x v="0"/>
    <x v="0"/>
  </r>
  <r>
    <x v="3"/>
    <x v="3"/>
    <x v="3"/>
    <x v="3"/>
    <x v="2"/>
    <n v="35"/>
    <m/>
    <m/>
    <m/>
    <m/>
    <x v="3"/>
    <n v="1.65241696966996"/>
    <n v="0.26098599942946399"/>
    <x v="3"/>
    <x v="1"/>
    <m/>
    <m/>
    <x v="1"/>
    <x v="0"/>
    <x v="3"/>
    <x v="0"/>
    <x v="0"/>
    <x v="0"/>
    <x v="0"/>
    <x v="0"/>
  </r>
  <r>
    <x v="4"/>
    <x v="4"/>
    <x v="4"/>
    <x v="4"/>
    <x v="2"/>
    <n v="35"/>
    <m/>
    <m/>
    <m/>
    <m/>
    <x v="4"/>
    <n v="1.6019211449330399"/>
    <n v="0.25011158278656997"/>
    <x v="4"/>
    <x v="1"/>
    <m/>
    <m/>
    <x v="2"/>
    <x v="0"/>
    <x v="4"/>
    <x v="0"/>
    <x v="0"/>
    <x v="0"/>
    <x v="0"/>
    <x v="0"/>
  </r>
  <r>
    <x v="5"/>
    <x v="5"/>
    <x v="5"/>
    <x v="5"/>
    <x v="3"/>
    <n v="45"/>
    <m/>
    <m/>
    <m/>
    <m/>
    <x v="5"/>
    <n v="1.5269035122946499"/>
    <n v="0.25011158278656997"/>
    <x v="5"/>
    <x v="1"/>
    <m/>
    <m/>
    <x v="3"/>
    <x v="0"/>
    <x v="5"/>
    <x v="1"/>
    <x v="0"/>
    <x v="0"/>
    <x v="0"/>
    <x v="0"/>
  </r>
  <r>
    <x v="6"/>
    <x v="6"/>
    <x v="6"/>
    <x v="6"/>
    <x v="4"/>
    <n v="71"/>
    <m/>
    <m/>
    <m/>
    <m/>
    <x v="6"/>
    <n v="1.76063375530189"/>
    <n v="0.25895970407070101"/>
    <x v="6"/>
    <x v="1"/>
    <m/>
    <m/>
    <x v="0"/>
    <x v="0"/>
    <x v="6"/>
    <x v="0"/>
    <x v="0"/>
    <x v="0"/>
    <x v="0"/>
    <x v="0"/>
  </r>
  <r>
    <x v="7"/>
    <x v="7"/>
    <x v="7"/>
    <x v="7"/>
    <x v="5"/>
    <n v="1"/>
    <m/>
    <m/>
    <m/>
    <m/>
    <x v="7"/>
    <n v="1.44714275681882"/>
    <n v="0.28611926791123099"/>
    <x v="7"/>
    <x v="1"/>
    <m/>
    <m/>
    <x v="0"/>
    <x v="0"/>
    <x v="7"/>
    <x v="0"/>
    <x v="0"/>
    <x v="0"/>
    <x v="0"/>
    <x v="0"/>
  </r>
  <r>
    <x v="8"/>
    <x v="8"/>
    <x v="8"/>
    <x v="8"/>
    <x v="6"/>
    <n v="66"/>
    <m/>
    <m/>
    <m/>
    <m/>
    <x v="8"/>
    <n v="2.8013492727637899"/>
    <n v="0.253046898822408"/>
    <x v="8"/>
    <x v="1"/>
    <m/>
    <m/>
    <x v="4"/>
    <x v="0"/>
    <x v="8"/>
    <x v="2"/>
    <x v="0"/>
    <x v="0"/>
    <x v="0"/>
    <x v="0"/>
  </r>
  <r>
    <x v="9"/>
    <x v="9"/>
    <x v="9"/>
    <x v="9"/>
    <x v="0"/>
    <m/>
    <m/>
    <m/>
    <m/>
    <m/>
    <x v="9"/>
    <n v="0.48686669898336399"/>
    <n v="0.24026656957307699"/>
    <x v="9"/>
    <x v="1"/>
    <m/>
    <m/>
    <x v="0"/>
    <x v="0"/>
    <x v="9"/>
    <x v="0"/>
    <x v="0"/>
    <x v="0"/>
    <x v="0"/>
    <x v="0"/>
  </r>
  <r>
    <x v="10"/>
    <x v="10"/>
    <x v="10"/>
    <x v="10"/>
    <x v="7"/>
    <n v="52"/>
    <m/>
    <m/>
    <m/>
    <m/>
    <x v="10"/>
    <n v="1.8837093052803799"/>
    <n v="0.28273483271525301"/>
    <x v="10"/>
    <x v="1"/>
    <m/>
    <m/>
    <x v="5"/>
    <x v="0"/>
    <x v="10"/>
    <x v="0"/>
    <x v="0"/>
    <x v="0"/>
    <x v="0"/>
    <x v="0"/>
  </r>
  <r>
    <x v="11"/>
    <x v="11"/>
    <x v="11"/>
    <x v="11"/>
    <x v="3"/>
    <n v="45"/>
    <m/>
    <m/>
    <m/>
    <m/>
    <x v="11"/>
    <n v="1.69639604342613"/>
    <n v="0.25347668386434002"/>
    <x v="11"/>
    <x v="1"/>
    <m/>
    <m/>
    <x v="6"/>
    <x v="0"/>
    <x v="11"/>
    <x v="0"/>
    <x v="0"/>
    <x v="0"/>
    <x v="0"/>
    <x v="0"/>
  </r>
  <r>
    <x v="12"/>
    <x v="12"/>
    <x v="12"/>
    <x v="12"/>
    <x v="8"/>
    <n v="56"/>
    <m/>
    <m/>
    <m/>
    <m/>
    <x v="12"/>
    <n v="1.5837928038017"/>
    <n v="0.25430795372945503"/>
    <x v="12"/>
    <x v="1"/>
    <m/>
    <m/>
    <x v="7"/>
    <x v="0"/>
    <x v="12"/>
    <x v="0"/>
    <x v="0"/>
    <x v="0"/>
    <x v="0"/>
    <x v="0"/>
  </r>
  <r>
    <x v="13"/>
    <x v="13"/>
    <x v="13"/>
    <x v="13"/>
    <x v="0"/>
    <m/>
    <m/>
    <m/>
    <m/>
    <m/>
    <x v="13"/>
    <n v="1.5212111144042699"/>
    <n v="0.25011158278656997"/>
    <x v="13"/>
    <x v="1"/>
    <m/>
    <m/>
    <x v="0"/>
    <x v="0"/>
    <x v="13"/>
    <x v="0"/>
    <x v="0"/>
    <x v="0"/>
    <x v="0"/>
    <x v="0"/>
  </r>
  <r>
    <x v="14"/>
    <x v="14"/>
    <x v="14"/>
    <x v="14"/>
    <x v="9"/>
    <n v="9"/>
    <m/>
    <m/>
    <m/>
    <m/>
    <x v="14"/>
    <n v="1.52866271254762"/>
    <n v="0.28273483271525301"/>
    <x v="14"/>
    <x v="1"/>
    <m/>
    <m/>
    <x v="0"/>
    <x v="0"/>
    <x v="14"/>
    <x v="0"/>
    <x v="0"/>
    <x v="0"/>
    <x v="0"/>
    <x v="0"/>
  </r>
  <r>
    <x v="15"/>
    <x v="15"/>
    <x v="15"/>
    <x v="15"/>
    <x v="10"/>
    <n v="77"/>
    <m/>
    <m/>
    <m/>
    <m/>
    <x v="15"/>
    <n v="1.9408612911907199"/>
    <n v="0.25011158278656997"/>
    <x v="15"/>
    <x v="1"/>
    <m/>
    <m/>
    <x v="8"/>
    <x v="0"/>
    <x v="15"/>
    <x v="0"/>
    <x v="0"/>
    <x v="0"/>
    <x v="0"/>
    <x v="0"/>
  </r>
  <r>
    <x v="16"/>
    <x v="16"/>
    <x v="16"/>
    <x v="16"/>
    <x v="11"/>
    <n v="41"/>
    <m/>
    <m/>
    <m/>
    <m/>
    <x v="16"/>
    <n v="1.45220596177395"/>
    <n v="0.25011158278656997"/>
    <x v="16"/>
    <x v="1"/>
    <m/>
    <m/>
    <x v="9"/>
    <x v="0"/>
    <x v="16"/>
    <x v="3"/>
    <x v="0"/>
    <x v="0"/>
    <x v="0"/>
    <x v="0"/>
  </r>
  <r>
    <x v="17"/>
    <x v="17"/>
    <x v="17"/>
    <x v="17"/>
    <x v="12"/>
    <n v="36"/>
    <m/>
    <m/>
    <m/>
    <m/>
    <x v="17"/>
    <n v="1.58561213935221"/>
    <n v="0.25011158278656997"/>
    <x v="17"/>
    <x v="1"/>
    <m/>
    <m/>
    <x v="10"/>
    <x v="0"/>
    <x v="17"/>
    <x v="0"/>
    <x v="0"/>
    <x v="0"/>
    <x v="0"/>
    <x v="0"/>
  </r>
  <r>
    <x v="18"/>
    <x v="18"/>
    <x v="18"/>
    <x v="18"/>
    <x v="12"/>
    <n v="36"/>
    <m/>
    <m/>
    <m/>
    <m/>
    <x v="18"/>
    <n v="1.6418111283607899"/>
    <n v="0.26098599942946399"/>
    <x v="18"/>
    <x v="1"/>
    <m/>
    <m/>
    <x v="11"/>
    <x v="0"/>
    <x v="18"/>
    <x v="0"/>
    <x v="0"/>
    <x v="0"/>
    <x v="0"/>
    <x v="0"/>
  </r>
  <r>
    <x v="19"/>
    <x v="19"/>
    <x v="19"/>
    <x v="19"/>
    <x v="13"/>
    <n v="58"/>
    <m/>
    <m/>
    <m/>
    <m/>
    <x v="19"/>
    <n v="1.64032342731036"/>
    <n v="0.25011158278656997"/>
    <x v="19"/>
    <x v="1"/>
    <m/>
    <m/>
    <x v="12"/>
    <x v="0"/>
    <x v="19"/>
    <x v="0"/>
    <x v="0"/>
    <x v="0"/>
    <x v="0"/>
    <x v="0"/>
  </r>
  <r>
    <x v="20"/>
    <x v="20"/>
    <x v="20"/>
    <x v="20"/>
    <x v="14"/>
    <n v="50"/>
    <m/>
    <m/>
    <m/>
    <m/>
    <x v="20"/>
    <n v="1.7921135361395699"/>
    <n v="0.25011158278656997"/>
    <x v="20"/>
    <x v="1"/>
    <m/>
    <m/>
    <x v="13"/>
    <x v="0"/>
    <x v="20"/>
    <x v="0"/>
    <x v="0"/>
    <x v="0"/>
    <x v="0"/>
    <x v="0"/>
  </r>
  <r>
    <x v="21"/>
    <x v="2"/>
    <x v="21"/>
    <x v="21"/>
    <x v="0"/>
    <m/>
    <m/>
    <m/>
    <m/>
    <m/>
    <x v="21"/>
    <n v="0.78269557830644598"/>
    <n v="0.24803770009784501"/>
    <x v="21"/>
    <x v="1"/>
    <m/>
    <m/>
    <x v="0"/>
    <x v="0"/>
    <x v="21"/>
    <x v="0"/>
    <x v="0"/>
    <x v="0"/>
    <x v="0"/>
    <x v="0"/>
  </r>
  <r>
    <x v="22"/>
    <x v="21"/>
    <x v="22"/>
    <x v="22"/>
    <x v="15"/>
    <n v="34"/>
    <m/>
    <m/>
    <m/>
    <m/>
    <x v="22"/>
    <n v="1.45243339024545"/>
    <n v="0.25011158278656997"/>
    <x v="22"/>
    <x v="1"/>
    <m/>
    <m/>
    <x v="14"/>
    <x v="0"/>
    <x v="22"/>
    <x v="0"/>
    <x v="0"/>
    <x v="0"/>
    <x v="0"/>
    <x v="0"/>
  </r>
  <r>
    <x v="23"/>
    <x v="22"/>
    <x v="23"/>
    <x v="23"/>
    <x v="16"/>
    <n v="20"/>
    <m/>
    <m/>
    <m/>
    <m/>
    <x v="23"/>
    <n v="1.5445505466663201"/>
    <n v="0.25443038041266303"/>
    <x v="23"/>
    <x v="1"/>
    <m/>
    <m/>
    <x v="15"/>
    <x v="0"/>
    <x v="23"/>
    <x v="0"/>
    <x v="0"/>
    <x v="0"/>
    <x v="0"/>
    <x v="0"/>
  </r>
  <r>
    <x v="24"/>
    <x v="23"/>
    <x v="24"/>
    <x v="24"/>
    <x v="17"/>
    <n v="37"/>
    <m/>
    <m/>
    <m/>
    <m/>
    <x v="24"/>
    <n v="1.22502307511441"/>
    <n v="0.28273483271525301"/>
    <x v="24"/>
    <x v="1"/>
    <m/>
    <m/>
    <x v="16"/>
    <x v="0"/>
    <x v="24"/>
    <x v="0"/>
    <x v="0"/>
    <x v="0"/>
    <x v="0"/>
    <x v="0"/>
  </r>
  <r>
    <x v="25"/>
    <x v="24"/>
    <x v="25"/>
    <x v="25"/>
    <x v="18"/>
    <n v="42"/>
    <m/>
    <m/>
    <m/>
    <m/>
    <x v="25"/>
    <n v="1.64214129725147"/>
    <n v="0.25011158278656997"/>
    <x v="25"/>
    <x v="1"/>
    <m/>
    <m/>
    <x v="17"/>
    <x v="0"/>
    <x v="25"/>
    <x v="0"/>
    <x v="0"/>
    <x v="0"/>
    <x v="0"/>
    <x v="0"/>
  </r>
  <r>
    <x v="26"/>
    <x v="18"/>
    <x v="26"/>
    <x v="26"/>
    <x v="19"/>
    <n v="38"/>
    <m/>
    <m/>
    <m/>
    <m/>
    <x v="26"/>
    <n v="2.3604281827650802"/>
    <n v="0.25016263208102302"/>
    <x v="26"/>
    <x v="1"/>
    <m/>
    <m/>
    <x v="18"/>
    <x v="0"/>
    <x v="26"/>
    <x v="0"/>
    <x v="0"/>
    <x v="0"/>
    <x v="0"/>
    <x v="0"/>
  </r>
  <r>
    <x v="27"/>
    <x v="25"/>
    <x v="27"/>
    <x v="27"/>
    <x v="16"/>
    <n v="19"/>
    <m/>
    <m/>
    <m/>
    <m/>
    <x v="27"/>
    <n v="1.93699548365429"/>
    <n v="0.25011158278656997"/>
    <x v="27"/>
    <x v="1"/>
    <m/>
    <m/>
    <x v="0"/>
    <x v="0"/>
    <x v="27"/>
    <x v="0"/>
    <x v="0"/>
    <x v="0"/>
    <x v="0"/>
    <x v="0"/>
  </r>
  <r>
    <x v="28"/>
    <x v="26"/>
    <x v="28"/>
    <x v="28"/>
    <x v="20"/>
    <n v="33"/>
    <m/>
    <m/>
    <m/>
    <m/>
    <x v="28"/>
    <n v="1.49815256914996"/>
    <n v="0.25011158278656997"/>
    <x v="28"/>
    <x v="1"/>
    <m/>
    <m/>
    <x v="0"/>
    <x v="0"/>
    <x v="28"/>
    <x v="4"/>
    <x v="0"/>
    <x v="0"/>
    <x v="0"/>
    <x v="0"/>
  </r>
  <r>
    <x v="29"/>
    <x v="18"/>
    <x v="29"/>
    <x v="29"/>
    <x v="21"/>
    <n v="4"/>
    <m/>
    <m/>
    <m/>
    <m/>
    <x v="29"/>
    <n v="1.7579831250989999"/>
    <n v="0.25011158278656997"/>
    <x v="29"/>
    <x v="1"/>
    <m/>
    <m/>
    <x v="0"/>
    <x v="0"/>
    <x v="29"/>
    <x v="0"/>
    <x v="0"/>
    <x v="0"/>
    <x v="0"/>
    <x v="0"/>
  </r>
  <r>
    <x v="30"/>
    <x v="27"/>
    <x v="30"/>
    <x v="30"/>
    <x v="22"/>
    <n v="49"/>
    <m/>
    <m/>
    <m/>
    <m/>
    <x v="30"/>
    <n v="2.1736314389131102"/>
    <n v="0.248601872291149"/>
    <x v="30"/>
    <x v="1"/>
    <m/>
    <m/>
    <x v="0"/>
    <x v="0"/>
    <x v="30"/>
    <x v="5"/>
    <x v="0"/>
    <x v="0"/>
    <x v="0"/>
    <x v="0"/>
  </r>
  <r>
    <x v="31"/>
    <x v="28"/>
    <x v="31"/>
    <x v="31"/>
    <x v="23"/>
    <n v="18"/>
    <m/>
    <m/>
    <m/>
    <m/>
    <x v="31"/>
    <n v="1.64207020065626"/>
    <n v="0.25011158278656997"/>
    <x v="31"/>
    <x v="1"/>
    <m/>
    <m/>
    <x v="0"/>
    <x v="0"/>
    <x v="31"/>
    <x v="0"/>
    <x v="0"/>
    <x v="0"/>
    <x v="0"/>
    <x v="0"/>
  </r>
  <r>
    <x v="32"/>
    <x v="29"/>
    <x v="32"/>
    <x v="32"/>
    <x v="24"/>
    <n v="25"/>
    <m/>
    <m/>
    <m/>
    <m/>
    <x v="32"/>
    <n v="1.72208075847942"/>
    <n v="0.25011158278656997"/>
    <x v="32"/>
    <x v="1"/>
    <m/>
    <m/>
    <x v="0"/>
    <x v="0"/>
    <x v="32"/>
    <x v="6"/>
    <x v="0"/>
    <x v="0"/>
    <x v="0"/>
    <x v="0"/>
  </r>
  <r>
    <x v="33"/>
    <x v="30"/>
    <x v="33"/>
    <x v="33"/>
    <x v="20"/>
    <n v="33"/>
    <m/>
    <m/>
    <m/>
    <m/>
    <x v="33"/>
    <n v="1.8458457255338201"/>
    <n v="0.25011158278656997"/>
    <x v="33"/>
    <x v="1"/>
    <m/>
    <m/>
    <x v="0"/>
    <x v="0"/>
    <x v="33"/>
    <x v="0"/>
    <x v="0"/>
    <x v="0"/>
    <x v="0"/>
    <x v="0"/>
  </r>
  <r>
    <x v="34"/>
    <x v="31"/>
    <x v="34"/>
    <x v="34"/>
    <x v="25"/>
    <n v="94"/>
    <m/>
    <m/>
    <m/>
    <m/>
    <x v="34"/>
    <n v="1.96598213361036"/>
    <n v="0.25462862994890001"/>
    <x v="34"/>
    <x v="1"/>
    <m/>
    <m/>
    <x v="19"/>
    <x v="0"/>
    <x v="34"/>
    <x v="7"/>
    <x v="0"/>
    <x v="0"/>
    <x v="0"/>
    <x v="0"/>
  </r>
  <r>
    <x v="35"/>
    <x v="32"/>
    <x v="35"/>
    <x v="35"/>
    <x v="24"/>
    <n v="25"/>
    <m/>
    <m/>
    <m/>
    <m/>
    <x v="35"/>
    <n v="2.2741225477861899"/>
    <n v="0.271860416072358"/>
    <x v="35"/>
    <x v="1"/>
    <m/>
    <m/>
    <x v="0"/>
    <x v="0"/>
    <x v="35"/>
    <x v="0"/>
    <x v="0"/>
    <x v="0"/>
    <x v="0"/>
    <x v="0"/>
  </r>
  <r>
    <x v="36"/>
    <x v="33"/>
    <x v="36"/>
    <x v="36"/>
    <x v="26"/>
    <n v="38"/>
    <m/>
    <m/>
    <m/>
    <m/>
    <x v="36"/>
    <n v="1.5352751682783199"/>
    <n v="0.31606259455104302"/>
    <x v="36"/>
    <x v="1"/>
    <m/>
    <m/>
    <x v="20"/>
    <x v="0"/>
    <x v="36"/>
    <x v="0"/>
    <x v="0"/>
    <x v="0"/>
    <x v="0"/>
    <x v="0"/>
  </r>
  <r>
    <x v="37"/>
    <x v="34"/>
    <x v="37"/>
    <x v="37"/>
    <x v="27"/>
    <n v="47"/>
    <m/>
    <m/>
    <m/>
    <m/>
    <x v="37"/>
    <n v="1.4997017992817401"/>
    <n v="0.25011158278656997"/>
    <x v="37"/>
    <x v="1"/>
    <m/>
    <m/>
    <x v="21"/>
    <x v="0"/>
    <x v="37"/>
    <x v="0"/>
    <x v="0"/>
    <x v="0"/>
    <x v="0"/>
    <x v="0"/>
  </r>
  <r>
    <x v="38"/>
    <x v="35"/>
    <x v="38"/>
    <x v="38"/>
    <x v="28"/>
    <n v="74"/>
    <m/>
    <m/>
    <m/>
    <m/>
    <x v="38"/>
    <n v="1.97958299143705"/>
    <n v="0.27382008800005803"/>
    <x v="38"/>
    <x v="1"/>
    <m/>
    <m/>
    <x v="22"/>
    <x v="0"/>
    <x v="38"/>
    <x v="0"/>
    <x v="0"/>
    <x v="0"/>
    <x v="0"/>
    <x v="0"/>
  </r>
  <r>
    <x v="39"/>
    <x v="36"/>
    <x v="39"/>
    <x v="39"/>
    <x v="20"/>
    <n v="33"/>
    <m/>
    <m/>
    <m/>
    <m/>
    <x v="39"/>
    <n v="2.0137315198183199"/>
    <n v="0.24476135482438299"/>
    <x v="39"/>
    <x v="1"/>
    <m/>
    <m/>
    <x v="23"/>
    <x v="0"/>
    <x v="39"/>
    <x v="0"/>
    <x v="0"/>
    <x v="0"/>
    <x v="0"/>
    <x v="0"/>
  </r>
  <r>
    <x v="40"/>
    <x v="37"/>
    <x v="40"/>
    <x v="40"/>
    <x v="29"/>
    <n v="17"/>
    <m/>
    <m/>
    <m/>
    <m/>
    <x v="40"/>
    <n v="1.4391928640415099"/>
    <n v="0.24254688348422501"/>
    <x v="40"/>
    <x v="1"/>
    <m/>
    <m/>
    <x v="24"/>
    <x v="0"/>
    <x v="40"/>
    <x v="0"/>
    <x v="0"/>
    <x v="0"/>
    <x v="0"/>
    <x v="0"/>
  </r>
  <r>
    <x v="41"/>
    <x v="38"/>
    <x v="41"/>
    <x v="41"/>
    <x v="30"/>
    <n v="6"/>
    <m/>
    <m/>
    <m/>
    <m/>
    <x v="41"/>
    <n v="1.8416957777362499"/>
    <n v="0.25011158278656997"/>
    <x v="41"/>
    <x v="1"/>
    <m/>
    <m/>
    <x v="0"/>
    <x v="0"/>
    <x v="41"/>
    <x v="0"/>
    <x v="0"/>
    <x v="0"/>
    <x v="0"/>
    <x v="0"/>
  </r>
  <r>
    <x v="42"/>
    <x v="39"/>
    <x v="42"/>
    <x v="42"/>
    <x v="31"/>
    <n v="1"/>
    <m/>
    <m/>
    <m/>
    <m/>
    <x v="42"/>
    <n v="2.0416113550533099"/>
    <n v="0.26098599942946399"/>
    <x v="42"/>
    <x v="1"/>
    <m/>
    <m/>
    <x v="0"/>
    <x v="0"/>
    <x v="42"/>
    <x v="0"/>
    <x v="0"/>
    <x v="0"/>
    <x v="0"/>
    <x v="0"/>
  </r>
  <r>
    <x v="43"/>
    <x v="7"/>
    <x v="43"/>
    <x v="43"/>
    <x v="5"/>
    <n v="1"/>
    <m/>
    <m/>
    <m/>
    <m/>
    <x v="43"/>
    <n v="1.8401579543041799"/>
    <n v="0.248029000478139"/>
    <x v="43"/>
    <x v="1"/>
    <m/>
    <m/>
    <x v="0"/>
    <x v="0"/>
    <x v="43"/>
    <x v="0"/>
    <x v="0"/>
    <x v="0"/>
    <x v="0"/>
    <x v="0"/>
  </r>
  <r>
    <x v="44"/>
    <x v="40"/>
    <x v="44"/>
    <x v="44"/>
    <x v="32"/>
    <n v="65"/>
    <m/>
    <m/>
    <m/>
    <m/>
    <x v="44"/>
    <n v="1.5474475288441401"/>
    <n v="0.26098599942946399"/>
    <x v="44"/>
    <x v="1"/>
    <m/>
    <m/>
    <x v="25"/>
    <x v="0"/>
    <x v="44"/>
    <x v="0"/>
    <x v="0"/>
    <x v="0"/>
    <x v="0"/>
    <x v="0"/>
  </r>
  <r>
    <x v="45"/>
    <x v="41"/>
    <x v="45"/>
    <x v="45"/>
    <x v="33"/>
    <n v="120"/>
    <m/>
    <m/>
    <m/>
    <m/>
    <x v="45"/>
    <n v="2.0771025881473801"/>
    <n v="0.25482029627166097"/>
    <x v="45"/>
    <x v="1"/>
    <m/>
    <m/>
    <x v="26"/>
    <x v="0"/>
    <x v="45"/>
    <x v="0"/>
    <x v="0"/>
    <x v="0"/>
    <x v="0"/>
    <x v="0"/>
  </r>
  <r>
    <x v="46"/>
    <x v="42"/>
    <x v="46"/>
    <x v="46"/>
    <x v="3"/>
    <n v="45"/>
    <m/>
    <m/>
    <m/>
    <m/>
    <x v="46"/>
    <n v="1.6087961924424301"/>
    <n v="0.25979491408639999"/>
    <x v="46"/>
    <x v="1"/>
    <m/>
    <m/>
    <x v="27"/>
    <x v="0"/>
    <x v="46"/>
    <x v="0"/>
    <x v="0"/>
    <x v="0"/>
    <x v="0"/>
    <x v="0"/>
  </r>
  <r>
    <x v="47"/>
    <x v="43"/>
    <x v="47"/>
    <x v="47"/>
    <x v="34"/>
    <n v="27"/>
    <m/>
    <m/>
    <m/>
    <m/>
    <x v="47"/>
    <n v="1.87550394917645"/>
    <n v="0.25011158278656997"/>
    <x v="47"/>
    <x v="1"/>
    <m/>
    <m/>
    <x v="28"/>
    <x v="0"/>
    <x v="47"/>
    <x v="0"/>
    <x v="0"/>
    <x v="0"/>
    <x v="0"/>
    <x v="0"/>
  </r>
  <r>
    <x v="48"/>
    <x v="44"/>
    <x v="48"/>
    <x v="48"/>
    <x v="19"/>
    <n v="38"/>
    <m/>
    <m/>
    <m/>
    <m/>
    <x v="48"/>
    <n v="2.4707237600691001"/>
    <n v="0.26098599942946399"/>
    <x v="48"/>
    <x v="1"/>
    <m/>
    <m/>
    <x v="29"/>
    <x v="0"/>
    <x v="48"/>
    <x v="0"/>
    <x v="0"/>
    <x v="0"/>
    <x v="0"/>
    <x v="0"/>
  </r>
  <r>
    <x v="49"/>
    <x v="45"/>
    <x v="49"/>
    <x v="49"/>
    <x v="0"/>
    <m/>
    <m/>
    <m/>
    <m/>
    <m/>
    <x v="49"/>
    <n v="0.49115908501860001"/>
    <n v="0.25753701668435203"/>
    <x v="49"/>
    <x v="1"/>
    <m/>
    <m/>
    <x v="0"/>
    <x v="0"/>
    <x v="49"/>
    <x v="0"/>
    <x v="0"/>
    <x v="0"/>
    <x v="0"/>
    <x v="0"/>
  </r>
  <r>
    <x v="50"/>
    <x v="46"/>
    <x v="50"/>
    <x v="50"/>
    <x v="35"/>
    <n v="40"/>
    <m/>
    <m/>
    <m/>
    <m/>
    <x v="50"/>
    <n v="1.8426477559452401"/>
    <n v="0.25011158278656997"/>
    <x v="50"/>
    <x v="1"/>
    <m/>
    <m/>
    <x v="30"/>
    <x v="0"/>
    <x v="50"/>
    <x v="0"/>
    <x v="0"/>
    <x v="0"/>
    <x v="0"/>
    <x v="0"/>
  </r>
  <r>
    <x v="51"/>
    <x v="18"/>
    <x v="51"/>
    <x v="51"/>
    <x v="36"/>
    <n v="43"/>
    <m/>
    <m/>
    <m/>
    <m/>
    <x v="51"/>
    <n v="1.5117498252597701"/>
    <n v="0.25138109453218499"/>
    <x v="51"/>
    <x v="1"/>
    <m/>
    <m/>
    <x v="31"/>
    <x v="0"/>
    <x v="51"/>
    <x v="0"/>
    <x v="0"/>
    <x v="0"/>
    <x v="0"/>
    <x v="0"/>
  </r>
  <r>
    <x v="52"/>
    <x v="47"/>
    <x v="52"/>
    <x v="52"/>
    <x v="37"/>
    <n v="57"/>
    <m/>
    <m/>
    <m/>
    <m/>
    <x v="52"/>
    <n v="1.60268392351621"/>
    <n v="0.298767638875784"/>
    <x v="52"/>
    <x v="1"/>
    <m/>
    <m/>
    <x v="32"/>
    <x v="0"/>
    <x v="52"/>
    <x v="0"/>
    <x v="0"/>
    <x v="0"/>
    <x v="0"/>
    <x v="0"/>
  </r>
  <r>
    <x v="53"/>
    <x v="48"/>
    <x v="53"/>
    <x v="53"/>
    <x v="38"/>
    <n v="68"/>
    <m/>
    <m/>
    <m/>
    <m/>
    <x v="53"/>
    <n v="1.76276501108332"/>
    <n v="0.25011158278656997"/>
    <x v="53"/>
    <x v="1"/>
    <m/>
    <m/>
    <x v="33"/>
    <x v="0"/>
    <x v="53"/>
    <x v="0"/>
    <x v="0"/>
    <x v="0"/>
    <x v="0"/>
    <x v="0"/>
  </r>
  <r>
    <x v="54"/>
    <x v="24"/>
    <x v="54"/>
    <x v="54"/>
    <x v="24"/>
    <n v="25"/>
    <m/>
    <m/>
    <m/>
    <m/>
    <x v="54"/>
    <n v="1.57537557019087"/>
    <n v="0.24983953406802401"/>
    <x v="54"/>
    <x v="1"/>
    <m/>
    <m/>
    <x v="34"/>
    <x v="0"/>
    <x v="54"/>
    <x v="0"/>
    <x v="0"/>
    <x v="0"/>
    <x v="0"/>
    <x v="0"/>
  </r>
  <r>
    <x v="55"/>
    <x v="49"/>
    <x v="55"/>
    <x v="55"/>
    <x v="1"/>
    <n v="5"/>
    <m/>
    <m/>
    <m/>
    <m/>
    <x v="55"/>
    <n v="1.3708006014904199"/>
    <n v="0.25011158278656997"/>
    <x v="55"/>
    <x v="1"/>
    <m/>
    <m/>
    <x v="0"/>
    <x v="0"/>
    <x v="55"/>
    <x v="0"/>
    <x v="0"/>
    <x v="0"/>
    <x v="0"/>
    <x v="0"/>
  </r>
  <r>
    <x v="56"/>
    <x v="50"/>
    <x v="56"/>
    <x v="56"/>
    <x v="0"/>
    <m/>
    <m/>
    <m/>
    <m/>
    <m/>
    <x v="56"/>
    <n v="1.4455109797624"/>
    <n v="0.251883508606706"/>
    <x v="56"/>
    <x v="1"/>
    <m/>
    <m/>
    <x v="0"/>
    <x v="0"/>
    <x v="0"/>
    <x v="0"/>
    <x v="0"/>
    <x v="0"/>
    <x v="0"/>
    <x v="0"/>
  </r>
  <r>
    <x v="57"/>
    <x v="3"/>
    <x v="57"/>
    <x v="57"/>
    <x v="15"/>
    <n v="34"/>
    <m/>
    <m/>
    <m/>
    <m/>
    <x v="57"/>
    <n v="1.7308016150449901"/>
    <n v="0.26808414903605798"/>
    <x v="57"/>
    <x v="1"/>
    <m/>
    <m/>
    <x v="35"/>
    <x v="0"/>
    <x v="56"/>
    <x v="0"/>
    <x v="0"/>
    <x v="0"/>
    <x v="0"/>
    <x v="0"/>
  </r>
  <r>
    <x v="58"/>
    <x v="51"/>
    <x v="58"/>
    <x v="58"/>
    <x v="39"/>
    <n v="26"/>
    <m/>
    <m/>
    <m/>
    <m/>
    <x v="58"/>
    <n v="1.8333316917176801"/>
    <n v="0.267002162769713"/>
    <x v="58"/>
    <x v="1"/>
    <m/>
    <m/>
    <x v="36"/>
    <x v="0"/>
    <x v="57"/>
    <x v="0"/>
    <x v="0"/>
    <x v="0"/>
    <x v="0"/>
    <x v="0"/>
  </r>
  <r>
    <x v="59"/>
    <x v="52"/>
    <x v="59"/>
    <x v="59"/>
    <x v="40"/>
    <n v="72"/>
    <m/>
    <m/>
    <m/>
    <m/>
    <x v="59"/>
    <n v="1.82098574374849"/>
    <n v="0.25203737954067301"/>
    <x v="59"/>
    <x v="1"/>
    <m/>
    <m/>
    <x v="37"/>
    <x v="0"/>
    <x v="58"/>
    <x v="0"/>
    <x v="0"/>
    <x v="0"/>
    <x v="0"/>
    <x v="0"/>
  </r>
  <r>
    <x v="60"/>
    <x v="32"/>
    <x v="60"/>
    <x v="60"/>
    <x v="11"/>
    <n v="40"/>
    <m/>
    <m/>
    <m/>
    <m/>
    <x v="60"/>
    <n v="2.08650584427888"/>
    <n v="0.25011158278656997"/>
    <x v="60"/>
    <x v="1"/>
    <m/>
    <m/>
    <x v="38"/>
    <x v="0"/>
    <x v="59"/>
    <x v="0"/>
    <x v="0"/>
    <x v="0"/>
    <x v="0"/>
    <x v="0"/>
  </r>
  <r>
    <x v="61"/>
    <x v="53"/>
    <x v="61"/>
    <x v="61"/>
    <x v="41"/>
    <n v="64"/>
    <m/>
    <m/>
    <m/>
    <m/>
    <x v="61"/>
    <n v="1.53579724605118"/>
    <n v="0.27245618306078301"/>
    <x v="61"/>
    <x v="1"/>
    <m/>
    <m/>
    <x v="39"/>
    <x v="0"/>
    <x v="60"/>
    <x v="0"/>
    <x v="0"/>
    <x v="0"/>
    <x v="0"/>
    <x v="0"/>
  </r>
  <r>
    <x v="62"/>
    <x v="21"/>
    <x v="62"/>
    <x v="62"/>
    <x v="26"/>
    <n v="38"/>
    <m/>
    <m/>
    <m/>
    <m/>
    <x v="62"/>
    <n v="1.4696465597223101"/>
    <n v="0.271860416072358"/>
    <x v="62"/>
    <x v="1"/>
    <m/>
    <m/>
    <x v="40"/>
    <x v="0"/>
    <x v="61"/>
    <x v="0"/>
    <x v="0"/>
    <x v="0"/>
    <x v="0"/>
    <x v="0"/>
  </r>
  <r>
    <x v="63"/>
    <x v="38"/>
    <x v="63"/>
    <x v="63"/>
    <x v="42"/>
    <n v="22"/>
    <m/>
    <m/>
    <m/>
    <m/>
    <x v="63"/>
    <n v="1.5244131121078099"/>
    <n v="0.25011158278656997"/>
    <x v="63"/>
    <x v="1"/>
    <m/>
    <m/>
    <x v="0"/>
    <x v="0"/>
    <x v="62"/>
    <x v="0"/>
    <x v="0"/>
    <x v="0"/>
    <x v="0"/>
    <x v="0"/>
  </r>
  <r>
    <x v="64"/>
    <x v="45"/>
    <x v="64"/>
    <x v="64"/>
    <x v="0"/>
    <m/>
    <m/>
    <m/>
    <m/>
    <m/>
    <x v="64"/>
    <n v="0.75415514909051595"/>
    <n v="0.242185501436808"/>
    <x v="64"/>
    <x v="1"/>
    <m/>
    <m/>
    <x v="0"/>
    <x v="0"/>
    <x v="63"/>
    <x v="0"/>
    <x v="0"/>
    <x v="0"/>
    <x v="0"/>
    <x v="0"/>
  </r>
  <r>
    <x v="65"/>
    <x v="54"/>
    <x v="65"/>
    <x v="65"/>
    <x v="35"/>
    <n v="40"/>
    <m/>
    <m/>
    <m/>
    <m/>
    <x v="65"/>
    <n v="1.5241974420798301"/>
    <n v="0.258014630055452"/>
    <x v="65"/>
    <x v="1"/>
    <m/>
    <m/>
    <x v="41"/>
    <x v="0"/>
    <x v="64"/>
    <x v="0"/>
    <x v="0"/>
    <x v="0"/>
    <x v="0"/>
    <x v="0"/>
  </r>
  <r>
    <x v="66"/>
    <x v="25"/>
    <x v="66"/>
    <x v="66"/>
    <x v="18"/>
    <n v="42"/>
    <m/>
    <m/>
    <m/>
    <m/>
    <x v="66"/>
    <n v="1.44611168879977"/>
    <n v="0.25163538861000101"/>
    <x v="66"/>
    <x v="1"/>
    <m/>
    <m/>
    <x v="42"/>
    <x v="0"/>
    <x v="65"/>
    <x v="0"/>
    <x v="0"/>
    <x v="0"/>
    <x v="0"/>
    <x v="0"/>
  </r>
  <r>
    <x v="67"/>
    <x v="55"/>
    <x v="67"/>
    <x v="67"/>
    <x v="5"/>
    <n v="1"/>
    <m/>
    <m/>
    <m/>
    <m/>
    <x v="67"/>
    <n v="1.8309562719797701"/>
    <n v="0.25011158278656997"/>
    <x v="67"/>
    <x v="1"/>
    <m/>
    <m/>
    <x v="0"/>
    <x v="0"/>
    <x v="66"/>
    <x v="0"/>
    <x v="0"/>
    <x v="0"/>
    <x v="0"/>
    <x v="0"/>
  </r>
  <r>
    <x v="68"/>
    <x v="56"/>
    <x v="68"/>
    <x v="68"/>
    <x v="43"/>
    <n v="31"/>
    <m/>
    <m/>
    <m/>
    <m/>
    <x v="68"/>
    <n v="1.48185547764995"/>
    <n v="0.24684821359003301"/>
    <x v="68"/>
    <x v="1"/>
    <m/>
    <m/>
    <x v="43"/>
    <x v="0"/>
    <x v="67"/>
    <x v="0"/>
    <x v="0"/>
    <x v="0"/>
    <x v="0"/>
    <x v="0"/>
  </r>
  <r>
    <x v="69"/>
    <x v="57"/>
    <x v="69"/>
    <x v="69"/>
    <x v="44"/>
    <n v="76"/>
    <m/>
    <m/>
    <m/>
    <m/>
    <x v="69"/>
    <n v="1.64095723168865"/>
    <n v="0.271860416072358"/>
    <x v="69"/>
    <x v="1"/>
    <m/>
    <m/>
    <x v="44"/>
    <x v="0"/>
    <x v="68"/>
    <x v="0"/>
    <x v="0"/>
    <x v="0"/>
    <x v="0"/>
    <x v="0"/>
  </r>
  <r>
    <x v="70"/>
    <x v="13"/>
    <x v="70"/>
    <x v="70"/>
    <x v="0"/>
    <m/>
    <m/>
    <m/>
    <m/>
    <m/>
    <x v="70"/>
    <n v="1.17004804194482"/>
    <n v="0.25467820184260398"/>
    <x v="65"/>
    <x v="1"/>
    <m/>
    <m/>
    <x v="0"/>
    <x v="0"/>
    <x v="69"/>
    <x v="0"/>
    <x v="0"/>
    <x v="0"/>
    <x v="0"/>
    <x v="0"/>
  </r>
  <r>
    <x v="71"/>
    <x v="58"/>
    <x v="71"/>
    <x v="71"/>
    <x v="45"/>
    <n v="19"/>
    <m/>
    <m/>
    <m/>
    <m/>
    <x v="71"/>
    <n v="1.8902352634965101"/>
    <n v="0.29360924935814697"/>
    <x v="70"/>
    <x v="1"/>
    <m/>
    <m/>
    <x v="45"/>
    <x v="0"/>
    <x v="70"/>
    <x v="0"/>
    <x v="0"/>
    <x v="0"/>
    <x v="0"/>
    <x v="0"/>
  </r>
  <r>
    <x v="72"/>
    <x v="9"/>
    <x v="56"/>
    <x v="72"/>
    <x v="0"/>
    <m/>
    <m/>
    <m/>
    <m/>
    <m/>
    <x v="72"/>
    <n v="0.32623248906044"/>
    <n v="0.315358082643936"/>
    <x v="71"/>
    <x v="1"/>
    <m/>
    <m/>
    <x v="0"/>
    <x v="0"/>
    <x v="0"/>
    <x v="0"/>
    <x v="0"/>
    <x v="0"/>
    <x v="0"/>
    <x v="0"/>
  </r>
  <r>
    <x v="73"/>
    <x v="59"/>
    <x v="72"/>
    <x v="73"/>
    <x v="21"/>
    <n v="4"/>
    <m/>
    <m/>
    <m/>
    <m/>
    <x v="73"/>
    <n v="1.5823166644562301"/>
    <n v="0.271860416072358"/>
    <x v="72"/>
    <x v="1"/>
    <m/>
    <m/>
    <x v="0"/>
    <x v="0"/>
    <x v="71"/>
    <x v="0"/>
    <x v="0"/>
    <x v="0"/>
    <x v="0"/>
    <x v="0"/>
  </r>
  <r>
    <x v="74"/>
    <x v="60"/>
    <x v="73"/>
    <x v="74"/>
    <x v="0"/>
    <m/>
    <m/>
    <m/>
    <m/>
    <m/>
    <x v="74"/>
    <n v="0.478005290283677"/>
    <n v="0.271860416072358"/>
    <x v="73"/>
    <x v="1"/>
    <m/>
    <m/>
    <x v="0"/>
    <x v="0"/>
    <x v="0"/>
    <x v="0"/>
    <x v="0"/>
    <x v="0"/>
    <x v="0"/>
    <x v="0"/>
  </r>
  <r>
    <x v="75"/>
    <x v="45"/>
    <x v="73"/>
    <x v="75"/>
    <x v="0"/>
    <m/>
    <m/>
    <m/>
    <m/>
    <m/>
    <x v="75"/>
    <n v="0.45725486649050601"/>
    <n v="0.315358082643936"/>
    <x v="74"/>
    <x v="1"/>
    <m/>
    <m/>
    <x v="0"/>
    <x v="0"/>
    <x v="0"/>
    <x v="0"/>
    <x v="0"/>
    <x v="0"/>
    <x v="0"/>
    <x v="0"/>
  </r>
  <r>
    <x v="76"/>
    <x v="61"/>
    <x v="74"/>
    <x v="76"/>
    <x v="46"/>
    <n v="3"/>
    <m/>
    <m/>
    <m/>
    <m/>
    <x v="76"/>
    <n v="1.4964965880911001"/>
    <n v="0.258009439599301"/>
    <x v="75"/>
    <x v="1"/>
    <m/>
    <m/>
    <x v="0"/>
    <x v="0"/>
    <x v="72"/>
    <x v="0"/>
    <x v="0"/>
    <x v="0"/>
    <x v="0"/>
    <x v="0"/>
  </r>
  <r>
    <x v="77"/>
    <x v="55"/>
    <x v="75"/>
    <x v="77"/>
    <x v="31"/>
    <n v="2"/>
    <m/>
    <m/>
    <m/>
    <m/>
    <x v="77"/>
    <n v="1.34079274981702"/>
    <n v="0.31270686424402599"/>
    <x v="76"/>
    <x v="1"/>
    <m/>
    <m/>
    <x v="0"/>
    <x v="0"/>
    <x v="73"/>
    <x v="0"/>
    <x v="0"/>
    <x v="0"/>
    <x v="0"/>
    <x v="0"/>
  </r>
  <r>
    <x v="78"/>
    <x v="62"/>
    <x v="76"/>
    <x v="78"/>
    <x v="0"/>
    <m/>
    <m/>
    <m/>
    <m/>
    <m/>
    <x v="78"/>
    <n v="1.3094639041979901"/>
    <n v="0.271860416072358"/>
    <x v="77"/>
    <x v="1"/>
    <m/>
    <m/>
    <x v="0"/>
    <x v="0"/>
    <x v="74"/>
    <x v="0"/>
    <x v="0"/>
    <x v="0"/>
    <x v="0"/>
    <x v="0"/>
  </r>
  <r>
    <x v="79"/>
    <x v="63"/>
    <x v="77"/>
    <x v="79"/>
    <x v="47"/>
    <n v="73"/>
    <m/>
    <m/>
    <m/>
    <m/>
    <x v="79"/>
    <n v="1.7591086959711399"/>
    <n v="0.25011158278656997"/>
    <x v="78"/>
    <x v="1"/>
    <m/>
    <m/>
    <x v="46"/>
    <x v="0"/>
    <x v="75"/>
    <x v="0"/>
    <x v="0"/>
    <x v="0"/>
    <x v="0"/>
    <x v="0"/>
  </r>
  <r>
    <x v="80"/>
    <x v="64"/>
    <x v="78"/>
    <x v="80"/>
    <x v="30"/>
    <n v="6"/>
    <m/>
    <m/>
    <m/>
    <m/>
    <x v="80"/>
    <n v="1.5223484583321401"/>
    <n v="0.26098599942946399"/>
    <x v="79"/>
    <x v="1"/>
    <m/>
    <m/>
    <x v="0"/>
    <x v="0"/>
    <x v="76"/>
    <x v="0"/>
    <x v="0"/>
    <x v="0"/>
    <x v="0"/>
    <x v="0"/>
  </r>
  <r>
    <x v="81"/>
    <x v="65"/>
    <x v="79"/>
    <x v="81"/>
    <x v="15"/>
    <n v="22"/>
    <m/>
    <m/>
    <m/>
    <m/>
    <x v="81"/>
    <n v="2.0962124879329398"/>
    <n v="0.26098599942946399"/>
    <x v="5"/>
    <x v="1"/>
    <m/>
    <m/>
    <x v="0"/>
    <x v="0"/>
    <x v="77"/>
    <x v="0"/>
    <x v="0"/>
    <x v="0"/>
    <x v="0"/>
    <x v="0"/>
  </r>
  <r>
    <x v="82"/>
    <x v="13"/>
    <x v="80"/>
    <x v="82"/>
    <x v="0"/>
    <m/>
    <m/>
    <m/>
    <m/>
    <m/>
    <x v="82"/>
    <n v="1.1016702182601701"/>
    <n v="0.25011158278656997"/>
    <x v="80"/>
    <x v="1"/>
    <m/>
    <m/>
    <x v="0"/>
    <x v="0"/>
    <x v="78"/>
    <x v="0"/>
    <x v="0"/>
    <x v="0"/>
    <x v="0"/>
    <x v="0"/>
  </r>
  <r>
    <x v="83"/>
    <x v="45"/>
    <x v="73"/>
    <x v="83"/>
    <x v="0"/>
    <m/>
    <m/>
    <m/>
    <m/>
    <m/>
    <x v="83"/>
    <n v="0.25011158278656997"/>
    <n v="0.25011158278656997"/>
    <x v="81"/>
    <x v="1"/>
    <m/>
    <m/>
    <x v="0"/>
    <x v="0"/>
    <x v="0"/>
    <x v="0"/>
    <x v="0"/>
    <x v="0"/>
    <x v="0"/>
    <x v="0"/>
  </r>
  <r>
    <x v="84"/>
    <x v="55"/>
    <x v="81"/>
    <x v="84"/>
    <x v="0"/>
    <m/>
    <m/>
    <m/>
    <m/>
    <m/>
    <x v="84"/>
    <n v="1.0839761668188499"/>
    <n v="0.271860416072358"/>
    <x v="82"/>
    <x v="1"/>
    <m/>
    <m/>
    <x v="0"/>
    <x v="0"/>
    <x v="79"/>
    <x v="0"/>
    <x v="0"/>
    <x v="0"/>
    <x v="0"/>
    <x v="0"/>
  </r>
  <r>
    <x v="85"/>
    <x v="39"/>
    <x v="82"/>
    <x v="85"/>
    <x v="46"/>
    <n v="3"/>
    <m/>
    <m/>
    <m/>
    <m/>
    <x v="85"/>
    <n v="1.4705678030663001"/>
    <n v="0.25011158278656997"/>
    <x v="83"/>
    <x v="1"/>
    <m/>
    <m/>
    <x v="0"/>
    <x v="0"/>
    <x v="80"/>
    <x v="0"/>
    <x v="0"/>
    <x v="0"/>
    <x v="0"/>
    <x v="0"/>
  </r>
  <r>
    <x v="86"/>
    <x v="66"/>
    <x v="73"/>
    <x v="86"/>
    <x v="0"/>
    <m/>
    <m/>
    <m/>
    <m/>
    <m/>
    <x v="86"/>
    <n v="1.15064525726817"/>
    <n v="0.271860416072358"/>
    <x v="84"/>
    <x v="1"/>
    <m/>
    <m/>
    <x v="0"/>
    <x v="0"/>
    <x v="0"/>
    <x v="0"/>
    <x v="0"/>
    <x v="0"/>
    <x v="0"/>
    <x v="0"/>
  </r>
  <r>
    <x v="87"/>
    <x v="0"/>
    <x v="73"/>
    <x v="87"/>
    <x v="0"/>
    <m/>
    <m/>
    <m/>
    <m/>
    <m/>
    <x v="87"/>
    <n v="0.52848665728181698"/>
    <n v="0.26098599942946399"/>
    <x v="85"/>
    <x v="1"/>
    <m/>
    <m/>
    <x v="0"/>
    <x v="0"/>
    <x v="0"/>
    <x v="0"/>
    <x v="0"/>
    <x v="0"/>
    <x v="0"/>
    <x v="0"/>
  </r>
  <r>
    <x v="88"/>
    <x v="64"/>
    <x v="83"/>
    <x v="88"/>
    <x v="5"/>
    <n v="1"/>
    <m/>
    <m/>
    <m/>
    <m/>
    <x v="88"/>
    <n v="1.4320418913169699"/>
    <n v="0.26098599942946399"/>
    <x v="86"/>
    <x v="1"/>
    <m/>
    <m/>
    <x v="0"/>
    <x v="0"/>
    <x v="81"/>
    <x v="0"/>
    <x v="0"/>
    <x v="0"/>
    <x v="0"/>
    <x v="0"/>
  </r>
  <r>
    <x v="89"/>
    <x v="42"/>
    <x v="84"/>
    <x v="89"/>
    <x v="37"/>
    <n v="57"/>
    <m/>
    <m/>
    <m/>
    <m/>
    <x v="89"/>
    <n v="1.4242594413734"/>
    <n v="0.315358082643936"/>
    <x v="87"/>
    <x v="1"/>
    <m/>
    <m/>
    <x v="47"/>
    <x v="0"/>
    <x v="82"/>
    <x v="0"/>
    <x v="0"/>
    <x v="0"/>
    <x v="0"/>
    <x v="0"/>
  </r>
  <r>
    <x v="90"/>
    <x v="9"/>
    <x v="73"/>
    <x v="90"/>
    <x v="0"/>
    <m/>
    <m/>
    <m/>
    <m/>
    <m/>
    <x v="90"/>
    <n v="1.3064535627440099"/>
    <n v="0.29360924935814697"/>
    <x v="88"/>
    <x v="1"/>
    <m/>
    <m/>
    <x v="0"/>
    <x v="0"/>
    <x v="0"/>
    <x v="0"/>
    <x v="0"/>
    <x v="0"/>
    <x v="0"/>
    <x v="0"/>
  </r>
  <r>
    <x v="91"/>
    <x v="67"/>
    <x v="85"/>
    <x v="91"/>
    <x v="48"/>
    <n v="32"/>
    <m/>
    <m/>
    <m/>
    <m/>
    <x v="91"/>
    <n v="0.522930608231857"/>
    <n v="0.32623246981076698"/>
    <x v="89"/>
    <x v="1"/>
    <m/>
    <m/>
    <x v="48"/>
    <x v="0"/>
    <x v="83"/>
    <x v="0"/>
    <x v="0"/>
    <x v="0"/>
    <x v="0"/>
    <x v="0"/>
  </r>
  <r>
    <x v="92"/>
    <x v="58"/>
    <x v="86"/>
    <x v="92"/>
    <x v="29"/>
    <n v="17"/>
    <m/>
    <m/>
    <m/>
    <m/>
    <x v="92"/>
    <n v="1.3357218544349001"/>
    <n v="0.252637209079906"/>
    <x v="90"/>
    <x v="1"/>
    <m/>
    <m/>
    <x v="0"/>
    <x v="0"/>
    <x v="84"/>
    <x v="0"/>
    <x v="0"/>
    <x v="0"/>
    <x v="0"/>
    <x v="0"/>
  </r>
  <r>
    <x v="93"/>
    <x v="68"/>
    <x v="87"/>
    <x v="93"/>
    <x v="19"/>
    <n v="39"/>
    <m/>
    <m/>
    <m/>
    <m/>
    <x v="93"/>
    <n v="1.4579745217881299"/>
    <n v="0.25011158278656997"/>
    <x v="91"/>
    <x v="1"/>
    <m/>
    <m/>
    <x v="49"/>
    <x v="0"/>
    <x v="85"/>
    <x v="8"/>
    <x v="0"/>
    <x v="0"/>
    <x v="0"/>
    <x v="0"/>
  </r>
  <r>
    <x v="94"/>
    <x v="58"/>
    <x v="88"/>
    <x v="94"/>
    <x v="23"/>
    <n v="13"/>
    <m/>
    <m/>
    <m/>
    <m/>
    <x v="94"/>
    <n v="2.2981873640714698"/>
    <n v="0.26098599942946399"/>
    <x v="92"/>
    <x v="1"/>
    <m/>
    <m/>
    <x v="0"/>
    <x v="0"/>
    <x v="86"/>
    <x v="0"/>
    <x v="0"/>
    <x v="0"/>
    <x v="0"/>
    <x v="0"/>
  </r>
  <r>
    <x v="95"/>
    <x v="18"/>
    <x v="89"/>
    <x v="95"/>
    <x v="11"/>
    <n v="41"/>
    <m/>
    <m/>
    <m/>
    <m/>
    <x v="95"/>
    <n v="1.7604355816644499"/>
    <n v="0.26466483130917701"/>
    <x v="93"/>
    <x v="1"/>
    <m/>
    <m/>
    <x v="50"/>
    <x v="0"/>
    <x v="87"/>
    <x v="0"/>
    <x v="0"/>
    <x v="0"/>
    <x v="0"/>
    <x v="0"/>
  </r>
  <r>
    <x v="96"/>
    <x v="46"/>
    <x v="90"/>
    <x v="96"/>
    <x v="3"/>
    <n v="45"/>
    <m/>
    <m/>
    <m/>
    <m/>
    <x v="96"/>
    <n v="1.6182189873903201"/>
    <n v="0.271860416072358"/>
    <x v="94"/>
    <x v="1"/>
    <m/>
    <m/>
    <x v="51"/>
    <x v="0"/>
    <x v="88"/>
    <x v="0"/>
    <x v="0"/>
    <x v="0"/>
    <x v="0"/>
    <x v="0"/>
  </r>
  <r>
    <x v="97"/>
    <x v="69"/>
    <x v="91"/>
    <x v="97"/>
    <x v="18"/>
    <n v="42"/>
    <m/>
    <m/>
    <m/>
    <m/>
    <x v="97"/>
    <n v="1.8823219066827399"/>
    <n v="0.28273483271525301"/>
    <x v="95"/>
    <x v="1"/>
    <m/>
    <m/>
    <x v="52"/>
    <x v="0"/>
    <x v="89"/>
    <x v="0"/>
    <x v="0"/>
    <x v="0"/>
    <x v="0"/>
    <x v="0"/>
  </r>
  <r>
    <x v="98"/>
    <x v="70"/>
    <x v="92"/>
    <x v="98"/>
    <x v="49"/>
    <n v="83"/>
    <m/>
    <m/>
    <m/>
    <m/>
    <x v="98"/>
    <n v="1.7431992383633199"/>
    <n v="0.25011158278656997"/>
    <x v="96"/>
    <x v="1"/>
    <m/>
    <m/>
    <x v="0"/>
    <x v="0"/>
    <x v="90"/>
    <x v="0"/>
    <x v="0"/>
    <x v="0"/>
    <x v="0"/>
    <x v="0"/>
  </r>
  <r>
    <x v="99"/>
    <x v="19"/>
    <x v="93"/>
    <x v="99"/>
    <x v="35"/>
    <n v="39"/>
    <m/>
    <m/>
    <m/>
    <m/>
    <x v="99"/>
    <n v="2.12242122530848"/>
    <n v="0.24917012244099801"/>
    <x v="97"/>
    <x v="1"/>
    <m/>
    <m/>
    <x v="53"/>
    <x v="0"/>
    <x v="91"/>
    <x v="0"/>
    <x v="0"/>
    <x v="0"/>
    <x v="0"/>
    <x v="0"/>
  </r>
  <r>
    <x v="100"/>
    <x v="71"/>
    <x v="94"/>
    <x v="100"/>
    <x v="39"/>
    <n v="26"/>
    <m/>
    <m/>
    <m/>
    <m/>
    <x v="100"/>
    <n v="1.5464654910583999"/>
    <n v="0.25011158278656997"/>
    <x v="98"/>
    <x v="1"/>
    <m/>
    <m/>
    <x v="54"/>
    <x v="0"/>
    <x v="92"/>
    <x v="0"/>
    <x v="0"/>
    <x v="0"/>
    <x v="0"/>
    <x v="0"/>
  </r>
  <r>
    <x v="101"/>
    <x v="72"/>
    <x v="95"/>
    <x v="101"/>
    <x v="50"/>
    <n v="44"/>
    <m/>
    <m/>
    <m/>
    <m/>
    <x v="101"/>
    <n v="1.68916383872422"/>
    <n v="0.25011158278656997"/>
    <x v="99"/>
    <x v="1"/>
    <m/>
    <m/>
    <x v="55"/>
    <x v="0"/>
    <x v="93"/>
    <x v="0"/>
    <x v="0"/>
    <x v="0"/>
    <x v="0"/>
    <x v="0"/>
  </r>
  <r>
    <x v="102"/>
    <x v="73"/>
    <x v="96"/>
    <x v="102"/>
    <x v="51"/>
    <n v="46"/>
    <m/>
    <m/>
    <m/>
    <m/>
    <x v="102"/>
    <n v="1.9150029210509301"/>
    <n v="0.26098599942946399"/>
    <x v="100"/>
    <x v="1"/>
    <m/>
    <m/>
    <x v="56"/>
    <x v="0"/>
    <x v="94"/>
    <x v="0"/>
    <x v="0"/>
    <x v="0"/>
    <x v="0"/>
    <x v="0"/>
  </r>
  <r>
    <x v="103"/>
    <x v="74"/>
    <x v="97"/>
    <x v="103"/>
    <x v="52"/>
    <n v="139"/>
    <m/>
    <m/>
    <m/>
    <m/>
    <x v="103"/>
    <n v="1.40718127957032"/>
    <n v="0.25011158278656997"/>
    <x v="101"/>
    <x v="1"/>
    <m/>
    <m/>
    <x v="57"/>
    <x v="0"/>
    <x v="95"/>
    <x v="0"/>
    <x v="0"/>
    <x v="0"/>
    <x v="0"/>
    <x v="0"/>
  </r>
  <r>
    <x v="104"/>
    <x v="75"/>
    <x v="98"/>
    <x v="104"/>
    <x v="53"/>
    <n v="58"/>
    <m/>
    <m/>
    <m/>
    <m/>
    <x v="104"/>
    <n v="2.15356552070552"/>
    <n v="0.244331101813476"/>
    <x v="102"/>
    <x v="1"/>
    <m/>
    <m/>
    <x v="0"/>
    <x v="0"/>
    <x v="96"/>
    <x v="9"/>
    <x v="0"/>
    <x v="0"/>
    <x v="0"/>
    <x v="0"/>
  </r>
  <r>
    <x v="105"/>
    <x v="76"/>
    <x v="99"/>
    <x v="105"/>
    <x v="17"/>
    <n v="35"/>
    <m/>
    <m/>
    <m/>
    <m/>
    <x v="105"/>
    <n v="2.5214646227259299"/>
    <n v="0.25933299620230299"/>
    <x v="103"/>
    <x v="1"/>
    <m/>
    <m/>
    <x v="0"/>
    <x v="0"/>
    <x v="97"/>
    <x v="10"/>
    <x v="0"/>
    <x v="0"/>
    <x v="0"/>
    <x v="0"/>
  </r>
  <r>
    <x v="106"/>
    <x v="77"/>
    <x v="100"/>
    <x v="106"/>
    <x v="29"/>
    <n v="17"/>
    <m/>
    <m/>
    <m/>
    <m/>
    <x v="106"/>
    <n v="2.0061278624037802"/>
    <n v="0.29360924935814697"/>
    <x v="104"/>
    <x v="1"/>
    <m/>
    <m/>
    <x v="58"/>
    <x v="0"/>
    <x v="98"/>
    <x v="0"/>
    <x v="0"/>
    <x v="0"/>
    <x v="0"/>
    <x v="0"/>
  </r>
  <r>
    <x v="107"/>
    <x v="19"/>
    <x v="101"/>
    <x v="107"/>
    <x v="22"/>
    <n v="50"/>
    <m/>
    <m/>
    <m/>
    <m/>
    <x v="107"/>
    <n v="1.90626799314079"/>
    <n v="0.25011158278656997"/>
    <x v="105"/>
    <x v="1"/>
    <m/>
    <m/>
    <x v="59"/>
    <x v="0"/>
    <x v="99"/>
    <x v="0"/>
    <x v="0"/>
    <x v="0"/>
    <x v="0"/>
    <x v="0"/>
  </r>
  <r>
    <x v="108"/>
    <x v="78"/>
    <x v="102"/>
    <x v="108"/>
    <x v="53"/>
    <n v="59"/>
    <m/>
    <m/>
    <m/>
    <m/>
    <x v="108"/>
    <n v="1.51062666744378"/>
    <n v="0.25193731322073798"/>
    <x v="106"/>
    <x v="1"/>
    <m/>
    <m/>
    <x v="60"/>
    <x v="0"/>
    <x v="100"/>
    <x v="0"/>
    <x v="0"/>
    <x v="0"/>
    <x v="0"/>
    <x v="0"/>
  </r>
  <r>
    <x v="109"/>
    <x v="37"/>
    <x v="103"/>
    <x v="109"/>
    <x v="18"/>
    <n v="42"/>
    <m/>
    <m/>
    <m/>
    <m/>
    <x v="109"/>
    <n v="1.6993877150054999"/>
    <n v="0.25011158278656997"/>
    <x v="107"/>
    <x v="1"/>
    <m/>
    <m/>
    <x v="61"/>
    <x v="0"/>
    <x v="101"/>
    <x v="0"/>
    <x v="0"/>
    <x v="0"/>
    <x v="0"/>
    <x v="0"/>
  </r>
  <r>
    <x v="110"/>
    <x v="79"/>
    <x v="104"/>
    <x v="110"/>
    <x v="13"/>
    <n v="58"/>
    <m/>
    <m/>
    <m/>
    <m/>
    <x v="110"/>
    <n v="1.6070265755933999"/>
    <n v="0.25011158278656997"/>
    <x v="39"/>
    <x v="1"/>
    <m/>
    <m/>
    <x v="62"/>
    <x v="0"/>
    <x v="102"/>
    <x v="0"/>
    <x v="0"/>
    <x v="0"/>
    <x v="0"/>
    <x v="0"/>
  </r>
  <r>
    <x v="111"/>
    <x v="80"/>
    <x v="105"/>
    <x v="111"/>
    <x v="54"/>
    <n v="98"/>
    <m/>
    <m/>
    <m/>
    <m/>
    <x v="111"/>
    <n v="1.7570384572600499"/>
    <n v="0.24992964497994399"/>
    <x v="108"/>
    <x v="1"/>
    <m/>
    <m/>
    <x v="63"/>
    <x v="0"/>
    <x v="103"/>
    <x v="0"/>
    <x v="0"/>
    <x v="0"/>
    <x v="0"/>
    <x v="0"/>
  </r>
  <r>
    <x v="112"/>
    <x v="55"/>
    <x v="106"/>
    <x v="112"/>
    <x v="0"/>
    <m/>
    <m/>
    <m/>
    <m/>
    <m/>
    <x v="112"/>
    <n v="1.3881720326707201"/>
    <n v="0.25011158278656997"/>
    <x v="109"/>
    <x v="1"/>
    <m/>
    <m/>
    <x v="0"/>
    <x v="0"/>
    <x v="104"/>
    <x v="0"/>
    <x v="0"/>
    <x v="0"/>
    <x v="0"/>
    <x v="0"/>
  </r>
  <r>
    <x v="113"/>
    <x v="81"/>
    <x v="107"/>
    <x v="113"/>
    <x v="55"/>
    <n v="77"/>
    <m/>
    <m/>
    <m/>
    <m/>
    <x v="113"/>
    <n v="1.7579911868143501"/>
    <n v="0.26098599942946399"/>
    <x v="110"/>
    <x v="1"/>
    <m/>
    <m/>
    <x v="64"/>
    <x v="0"/>
    <x v="105"/>
    <x v="0"/>
    <x v="0"/>
    <x v="0"/>
    <x v="0"/>
    <x v="0"/>
  </r>
  <r>
    <x v="114"/>
    <x v="82"/>
    <x v="108"/>
    <x v="114"/>
    <x v="56"/>
    <n v="54"/>
    <m/>
    <m/>
    <m/>
    <m/>
    <x v="114"/>
    <n v="1.5639611928797601"/>
    <n v="0.25011158278656997"/>
    <x v="111"/>
    <x v="1"/>
    <m/>
    <m/>
    <x v="65"/>
    <x v="0"/>
    <x v="106"/>
    <x v="0"/>
    <x v="0"/>
    <x v="0"/>
    <x v="0"/>
    <x v="0"/>
  </r>
  <r>
    <x v="115"/>
    <x v="82"/>
    <x v="109"/>
    <x v="115"/>
    <x v="14"/>
    <n v="50"/>
    <m/>
    <m/>
    <m/>
    <m/>
    <x v="115"/>
    <n v="1.7089553736248999"/>
    <n v="0.249852325090651"/>
    <x v="112"/>
    <x v="1"/>
    <m/>
    <m/>
    <x v="66"/>
    <x v="0"/>
    <x v="107"/>
    <x v="11"/>
    <x v="0"/>
    <x v="0"/>
    <x v="0"/>
    <x v="0"/>
  </r>
  <r>
    <x v="116"/>
    <x v="44"/>
    <x v="110"/>
    <x v="116"/>
    <x v="20"/>
    <n v="33"/>
    <m/>
    <m/>
    <m/>
    <m/>
    <x v="116"/>
    <n v="1.53115349325685"/>
    <n v="0.26098599942946399"/>
    <x v="93"/>
    <x v="1"/>
    <m/>
    <m/>
    <x v="67"/>
    <x v="0"/>
    <x v="108"/>
    <x v="0"/>
    <x v="0"/>
    <x v="0"/>
    <x v="0"/>
    <x v="0"/>
  </r>
  <r>
    <x v="117"/>
    <x v="83"/>
    <x v="111"/>
    <x v="117"/>
    <x v="57"/>
    <n v="66"/>
    <m/>
    <m/>
    <m/>
    <m/>
    <x v="117"/>
    <n v="1.5337883294530501"/>
    <n v="0.26098599942946399"/>
    <x v="113"/>
    <x v="1"/>
    <m/>
    <m/>
    <x v="68"/>
    <x v="0"/>
    <x v="109"/>
    <x v="0"/>
    <x v="0"/>
    <x v="0"/>
    <x v="0"/>
    <x v="0"/>
  </r>
  <r>
    <x v="118"/>
    <x v="11"/>
    <x v="112"/>
    <x v="118"/>
    <x v="2"/>
    <n v="34"/>
    <m/>
    <m/>
    <m/>
    <m/>
    <x v="118"/>
    <n v="1.88747501415894"/>
    <n v="0.25011158278656997"/>
    <x v="114"/>
    <x v="1"/>
    <m/>
    <m/>
    <x v="0"/>
    <x v="0"/>
    <x v="110"/>
    <x v="0"/>
    <x v="0"/>
    <x v="0"/>
    <x v="0"/>
    <x v="0"/>
  </r>
  <r>
    <x v="119"/>
    <x v="84"/>
    <x v="113"/>
    <x v="119"/>
    <x v="58"/>
    <n v="109"/>
    <m/>
    <m/>
    <m/>
    <m/>
    <x v="119"/>
    <n v="2.066467689045"/>
    <n v="0.25011158278656997"/>
    <x v="115"/>
    <x v="1"/>
    <m/>
    <m/>
    <x v="0"/>
    <x v="0"/>
    <x v="111"/>
    <x v="0"/>
    <x v="0"/>
    <x v="0"/>
    <x v="0"/>
    <x v="0"/>
  </r>
  <r>
    <x v="120"/>
    <x v="40"/>
    <x v="114"/>
    <x v="120"/>
    <x v="13"/>
    <n v="58"/>
    <m/>
    <m/>
    <m/>
    <m/>
    <x v="120"/>
    <n v="1.4943348020596801"/>
    <n v="0.26427340262837501"/>
    <x v="116"/>
    <x v="1"/>
    <m/>
    <m/>
    <x v="69"/>
    <x v="0"/>
    <x v="112"/>
    <x v="0"/>
    <x v="0"/>
    <x v="0"/>
    <x v="0"/>
    <x v="0"/>
  </r>
  <r>
    <x v="121"/>
    <x v="85"/>
    <x v="115"/>
    <x v="121"/>
    <x v="59"/>
    <n v="48"/>
    <m/>
    <m/>
    <m/>
    <m/>
    <x v="121"/>
    <n v="1.50776766648353"/>
    <n v="0.25011158278656997"/>
    <x v="117"/>
    <x v="1"/>
    <m/>
    <m/>
    <x v="70"/>
    <x v="0"/>
    <x v="113"/>
    <x v="0"/>
    <x v="0"/>
    <x v="0"/>
    <x v="0"/>
    <x v="0"/>
  </r>
  <r>
    <x v="122"/>
    <x v="86"/>
    <x v="116"/>
    <x v="122"/>
    <x v="60"/>
    <n v="27"/>
    <m/>
    <m/>
    <m/>
    <m/>
    <x v="122"/>
    <n v="1.5684160424567"/>
    <n v="0.25011158278656997"/>
    <x v="118"/>
    <x v="1"/>
    <m/>
    <m/>
    <x v="71"/>
    <x v="0"/>
    <x v="114"/>
    <x v="0"/>
    <x v="0"/>
    <x v="0"/>
    <x v="0"/>
    <x v="0"/>
  </r>
  <r>
    <x v="123"/>
    <x v="3"/>
    <x v="117"/>
    <x v="123"/>
    <x v="43"/>
    <n v="30"/>
    <m/>
    <m/>
    <m/>
    <m/>
    <x v="123"/>
    <n v="2.0348322510752199"/>
    <n v="0.25127391547000999"/>
    <x v="119"/>
    <x v="1"/>
    <m/>
    <m/>
    <x v="72"/>
    <x v="0"/>
    <x v="115"/>
    <x v="0"/>
    <x v="0"/>
    <x v="0"/>
    <x v="0"/>
    <x v="0"/>
  </r>
  <r>
    <x v="124"/>
    <x v="10"/>
    <x v="118"/>
    <x v="124"/>
    <x v="16"/>
    <n v="20"/>
    <m/>
    <m/>
    <m/>
    <m/>
    <x v="124"/>
    <n v="1.5916269117284501"/>
    <n v="0.271860416072358"/>
    <x v="120"/>
    <x v="1"/>
    <m/>
    <m/>
    <x v="73"/>
    <x v="0"/>
    <x v="116"/>
    <x v="0"/>
    <x v="0"/>
    <x v="0"/>
    <x v="0"/>
    <x v="0"/>
  </r>
  <r>
    <x v="125"/>
    <x v="87"/>
    <x v="119"/>
    <x v="125"/>
    <x v="41"/>
    <n v="64"/>
    <m/>
    <m/>
    <m/>
    <m/>
    <x v="125"/>
    <n v="1.6164040590783899"/>
    <n v="0.250563276465957"/>
    <x v="121"/>
    <x v="1"/>
    <m/>
    <m/>
    <x v="74"/>
    <x v="0"/>
    <x v="117"/>
    <x v="0"/>
    <x v="0"/>
    <x v="0"/>
    <x v="0"/>
    <x v="0"/>
  </r>
  <r>
    <x v="126"/>
    <x v="77"/>
    <x v="120"/>
    <x v="126"/>
    <x v="36"/>
    <n v="43"/>
    <m/>
    <m/>
    <m/>
    <m/>
    <x v="126"/>
    <n v="0.68643579360099705"/>
    <n v="0.24784276036873101"/>
    <x v="122"/>
    <x v="1"/>
    <m/>
    <m/>
    <x v="75"/>
    <x v="0"/>
    <x v="118"/>
    <x v="0"/>
    <x v="0"/>
    <x v="0"/>
    <x v="0"/>
    <x v="0"/>
  </r>
  <r>
    <x v="127"/>
    <x v="11"/>
    <x v="121"/>
    <x v="127"/>
    <x v="2"/>
    <n v="35"/>
    <m/>
    <m/>
    <m/>
    <m/>
    <x v="127"/>
    <n v="1.5188774590923999"/>
    <n v="0.243377179301632"/>
    <x v="123"/>
    <x v="1"/>
    <m/>
    <m/>
    <x v="76"/>
    <x v="0"/>
    <x v="119"/>
    <x v="0"/>
    <x v="0"/>
    <x v="0"/>
    <x v="0"/>
    <x v="0"/>
  </r>
  <r>
    <x v="128"/>
    <x v="88"/>
    <x v="122"/>
    <x v="128"/>
    <x v="20"/>
    <n v="33"/>
    <m/>
    <m/>
    <m/>
    <m/>
    <x v="128"/>
    <n v="1.7599311477944"/>
    <n v="0.25011158278656997"/>
    <x v="124"/>
    <x v="1"/>
    <m/>
    <m/>
    <x v="77"/>
    <x v="0"/>
    <x v="120"/>
    <x v="0"/>
    <x v="0"/>
    <x v="0"/>
    <x v="0"/>
    <x v="0"/>
  </r>
  <r>
    <x v="129"/>
    <x v="89"/>
    <x v="123"/>
    <x v="129"/>
    <x v="61"/>
    <n v="30"/>
    <m/>
    <m/>
    <m/>
    <m/>
    <x v="129"/>
    <n v="1.66494082489049"/>
    <n v="0.271860416072358"/>
    <x v="125"/>
    <x v="1"/>
    <m/>
    <m/>
    <x v="78"/>
    <x v="0"/>
    <x v="121"/>
    <x v="0"/>
    <x v="0"/>
    <x v="0"/>
    <x v="0"/>
    <x v="0"/>
  </r>
  <r>
    <x v="130"/>
    <x v="46"/>
    <x v="124"/>
    <x v="130"/>
    <x v="35"/>
    <n v="40"/>
    <m/>
    <m/>
    <m/>
    <m/>
    <x v="130"/>
    <n v="1.79058928997498"/>
    <n v="0.247140765283997"/>
    <x v="126"/>
    <x v="1"/>
    <m/>
    <m/>
    <x v="79"/>
    <x v="0"/>
    <x v="122"/>
    <x v="0"/>
    <x v="0"/>
    <x v="0"/>
    <x v="0"/>
    <x v="0"/>
  </r>
  <r>
    <x v="131"/>
    <x v="36"/>
    <x v="125"/>
    <x v="131"/>
    <x v="24"/>
    <n v="25"/>
    <m/>
    <m/>
    <m/>
    <m/>
    <x v="131"/>
    <n v="1.4620178297684101"/>
    <n v="0.25011158278656997"/>
    <x v="127"/>
    <x v="1"/>
    <m/>
    <m/>
    <x v="80"/>
    <x v="0"/>
    <x v="123"/>
    <x v="0"/>
    <x v="0"/>
    <x v="0"/>
    <x v="0"/>
    <x v="0"/>
  </r>
  <r>
    <x v="132"/>
    <x v="90"/>
    <x v="126"/>
    <x v="132"/>
    <x v="62"/>
    <n v="23"/>
    <m/>
    <m/>
    <m/>
    <m/>
    <x v="132"/>
    <n v="1.3967134847270399"/>
    <n v="0.27274490262385698"/>
    <x v="128"/>
    <x v="1"/>
    <m/>
    <m/>
    <x v="81"/>
    <x v="0"/>
    <x v="124"/>
    <x v="0"/>
    <x v="0"/>
    <x v="0"/>
    <x v="0"/>
    <x v="0"/>
  </r>
  <r>
    <x v="133"/>
    <x v="91"/>
    <x v="127"/>
    <x v="133"/>
    <x v="63"/>
    <n v="28"/>
    <m/>
    <m/>
    <m/>
    <m/>
    <x v="133"/>
    <n v="1.6357703685457201"/>
    <n v="0.25011158278656997"/>
    <x v="129"/>
    <x v="1"/>
    <m/>
    <m/>
    <x v="0"/>
    <x v="0"/>
    <x v="125"/>
    <x v="0"/>
    <x v="0"/>
    <x v="0"/>
    <x v="0"/>
    <x v="0"/>
  </r>
  <r>
    <x v="134"/>
    <x v="92"/>
    <x v="128"/>
    <x v="134"/>
    <x v="41"/>
    <n v="64"/>
    <m/>
    <m/>
    <m/>
    <m/>
    <x v="134"/>
    <n v="1.76135505414393"/>
    <n v="0.242245128830788"/>
    <x v="130"/>
    <x v="1"/>
    <m/>
    <m/>
    <x v="82"/>
    <x v="0"/>
    <x v="126"/>
    <x v="0"/>
    <x v="0"/>
    <x v="0"/>
    <x v="0"/>
    <x v="0"/>
  </r>
  <r>
    <x v="135"/>
    <x v="93"/>
    <x v="129"/>
    <x v="135"/>
    <x v="35"/>
    <n v="40"/>
    <m/>
    <m/>
    <m/>
    <m/>
    <x v="135"/>
    <n v="1.8096542232223001"/>
    <n v="0.25011158278656997"/>
    <x v="131"/>
    <x v="1"/>
    <m/>
    <m/>
    <x v="83"/>
    <x v="0"/>
    <x v="127"/>
    <x v="0"/>
    <x v="0"/>
    <x v="0"/>
    <x v="0"/>
    <x v="0"/>
  </r>
  <r>
    <x v="136"/>
    <x v="94"/>
    <x v="130"/>
    <x v="136"/>
    <x v="64"/>
    <n v="12"/>
    <m/>
    <m/>
    <m/>
    <m/>
    <x v="136"/>
    <n v="2.0555003143358301"/>
    <n v="0.25065729501174699"/>
    <x v="132"/>
    <x v="1"/>
    <m/>
    <m/>
    <x v="0"/>
    <x v="0"/>
    <x v="128"/>
    <x v="0"/>
    <x v="0"/>
    <x v="0"/>
    <x v="0"/>
    <x v="0"/>
  </r>
  <r>
    <x v="137"/>
    <x v="63"/>
    <x v="131"/>
    <x v="137"/>
    <x v="65"/>
    <n v="81"/>
    <m/>
    <m/>
    <m/>
    <m/>
    <x v="137"/>
    <n v="1.59464639461333"/>
    <n v="0.25176191833524902"/>
    <x v="133"/>
    <x v="1"/>
    <m/>
    <m/>
    <x v="84"/>
    <x v="0"/>
    <x v="129"/>
    <x v="0"/>
    <x v="0"/>
    <x v="0"/>
    <x v="0"/>
    <x v="0"/>
  </r>
  <r>
    <x v="138"/>
    <x v="83"/>
    <x v="132"/>
    <x v="138"/>
    <x v="66"/>
    <n v="78"/>
    <m/>
    <m/>
    <m/>
    <m/>
    <x v="138"/>
    <n v="1.7432819094991701"/>
    <n v="0.29360924935814697"/>
    <x v="134"/>
    <x v="1"/>
    <m/>
    <m/>
    <x v="85"/>
    <x v="0"/>
    <x v="130"/>
    <x v="0"/>
    <x v="0"/>
    <x v="0"/>
    <x v="0"/>
    <x v="0"/>
  </r>
  <r>
    <x v="139"/>
    <x v="95"/>
    <x v="133"/>
    <x v="139"/>
    <x v="67"/>
    <n v="62"/>
    <m/>
    <m/>
    <m/>
    <m/>
    <x v="139"/>
    <n v="1.79205006922183"/>
    <n v="0.26098599942946399"/>
    <x v="135"/>
    <x v="1"/>
    <m/>
    <m/>
    <x v="86"/>
    <x v="0"/>
    <x v="131"/>
    <x v="0"/>
    <x v="0"/>
    <x v="0"/>
    <x v="0"/>
    <x v="0"/>
  </r>
  <r>
    <x v="140"/>
    <x v="14"/>
    <x v="134"/>
    <x v="140"/>
    <x v="45"/>
    <n v="21"/>
    <m/>
    <m/>
    <m/>
    <m/>
    <x v="140"/>
    <n v="1.5635745571146999"/>
    <n v="0.25011158278656997"/>
    <x v="136"/>
    <x v="1"/>
    <m/>
    <m/>
    <x v="87"/>
    <x v="0"/>
    <x v="132"/>
    <x v="0"/>
    <x v="0"/>
    <x v="0"/>
    <x v="0"/>
    <x v="0"/>
  </r>
  <r>
    <x v="141"/>
    <x v="96"/>
    <x v="135"/>
    <x v="141"/>
    <x v="20"/>
    <n v="33"/>
    <m/>
    <m/>
    <m/>
    <m/>
    <x v="141"/>
    <n v="1.59512739244142"/>
    <n v="0.25011158278656997"/>
    <x v="137"/>
    <x v="1"/>
    <m/>
    <m/>
    <x v="88"/>
    <x v="0"/>
    <x v="133"/>
    <x v="0"/>
    <x v="0"/>
    <x v="0"/>
    <x v="0"/>
    <x v="0"/>
  </r>
  <r>
    <x v="142"/>
    <x v="97"/>
    <x v="136"/>
    <x v="142"/>
    <x v="19"/>
    <n v="39"/>
    <m/>
    <m/>
    <m/>
    <m/>
    <x v="142"/>
    <n v="1.47021927171339"/>
    <n v="0.24649990951887901"/>
    <x v="138"/>
    <x v="1"/>
    <m/>
    <m/>
    <x v="89"/>
    <x v="0"/>
    <x v="134"/>
    <x v="0"/>
    <x v="0"/>
    <x v="0"/>
    <x v="0"/>
    <x v="0"/>
  </r>
  <r>
    <x v="143"/>
    <x v="4"/>
    <x v="137"/>
    <x v="143"/>
    <x v="14"/>
    <n v="50"/>
    <m/>
    <m/>
    <m/>
    <m/>
    <x v="143"/>
    <n v="1.7439898241244101"/>
    <n v="0.28273483271525301"/>
    <x v="139"/>
    <x v="1"/>
    <m/>
    <m/>
    <x v="90"/>
    <x v="0"/>
    <x v="135"/>
    <x v="0"/>
    <x v="0"/>
    <x v="0"/>
    <x v="0"/>
    <x v="0"/>
  </r>
  <r>
    <x v="144"/>
    <x v="44"/>
    <x v="138"/>
    <x v="144"/>
    <x v="60"/>
    <n v="27"/>
    <m/>
    <m/>
    <m/>
    <m/>
    <x v="144"/>
    <n v="1.65158994920492"/>
    <n v="0.29575528962820502"/>
    <x v="140"/>
    <x v="1"/>
    <m/>
    <m/>
    <x v="91"/>
    <x v="0"/>
    <x v="136"/>
    <x v="0"/>
    <x v="0"/>
    <x v="0"/>
    <x v="0"/>
    <x v="0"/>
  </r>
  <r>
    <x v="145"/>
    <x v="98"/>
    <x v="139"/>
    <x v="145"/>
    <x v="68"/>
    <n v="100"/>
    <m/>
    <m/>
    <m/>
    <m/>
    <x v="145"/>
    <n v="1.61603654482396"/>
    <n v="0.26719719262751901"/>
    <x v="141"/>
    <x v="1"/>
    <m/>
    <m/>
    <x v="92"/>
    <x v="0"/>
    <x v="137"/>
    <x v="0"/>
    <x v="0"/>
    <x v="0"/>
    <x v="0"/>
    <x v="0"/>
  </r>
  <r>
    <x v="146"/>
    <x v="45"/>
    <x v="140"/>
    <x v="146"/>
    <x v="0"/>
    <m/>
    <m/>
    <m/>
    <m/>
    <m/>
    <x v="146"/>
    <n v="0.41447684252045702"/>
    <n v="0.33555041130243701"/>
    <x v="142"/>
    <x v="1"/>
    <m/>
    <m/>
    <x v="0"/>
    <x v="0"/>
    <x v="138"/>
    <x v="0"/>
    <x v="0"/>
    <x v="0"/>
    <x v="0"/>
    <x v="0"/>
  </r>
  <r>
    <x v="147"/>
    <x v="49"/>
    <x v="141"/>
    <x v="147"/>
    <x v="5"/>
    <n v="1"/>
    <m/>
    <m/>
    <m/>
    <m/>
    <x v="147"/>
    <n v="1.3032086604397899"/>
    <n v="0.29360924935814697"/>
    <x v="143"/>
    <x v="1"/>
    <m/>
    <m/>
    <x v="0"/>
    <x v="0"/>
    <x v="139"/>
    <x v="0"/>
    <x v="0"/>
    <x v="0"/>
    <x v="0"/>
    <x v="0"/>
  </r>
  <r>
    <x v="148"/>
    <x v="99"/>
    <x v="142"/>
    <x v="148"/>
    <x v="20"/>
    <n v="33"/>
    <m/>
    <m/>
    <m/>
    <m/>
    <x v="148"/>
    <n v="1.6473765598507399"/>
    <n v="0.25011158278656997"/>
    <x v="144"/>
    <x v="1"/>
    <m/>
    <m/>
    <x v="93"/>
    <x v="0"/>
    <x v="140"/>
    <x v="0"/>
    <x v="0"/>
    <x v="0"/>
    <x v="0"/>
    <x v="0"/>
  </r>
  <r>
    <x v="149"/>
    <x v="43"/>
    <x v="143"/>
    <x v="149"/>
    <x v="23"/>
    <n v="18"/>
    <m/>
    <m/>
    <m/>
    <m/>
    <x v="149"/>
    <n v="1.5682612110904"/>
    <n v="0.315358082643936"/>
    <x v="145"/>
    <x v="1"/>
    <m/>
    <m/>
    <x v="94"/>
    <x v="0"/>
    <x v="141"/>
    <x v="0"/>
    <x v="0"/>
    <x v="0"/>
    <x v="0"/>
    <x v="0"/>
  </r>
  <r>
    <x v="150"/>
    <x v="100"/>
    <x v="144"/>
    <x v="150"/>
    <x v="69"/>
    <n v="24"/>
    <m/>
    <m/>
    <m/>
    <m/>
    <x v="150"/>
    <n v="1.8420345372073701"/>
    <n v="0.27385344317288302"/>
    <x v="146"/>
    <x v="1"/>
    <m/>
    <m/>
    <x v="95"/>
    <x v="0"/>
    <x v="142"/>
    <x v="0"/>
    <x v="0"/>
    <x v="0"/>
    <x v="0"/>
    <x v="0"/>
  </r>
  <r>
    <x v="151"/>
    <x v="37"/>
    <x v="145"/>
    <x v="151"/>
    <x v="2"/>
    <n v="35"/>
    <m/>
    <m/>
    <m/>
    <m/>
    <x v="151"/>
    <n v="1.4331658724507499"/>
    <n v="0.26098599942946399"/>
    <x v="147"/>
    <x v="1"/>
    <m/>
    <m/>
    <x v="96"/>
    <x v="0"/>
    <x v="143"/>
    <x v="0"/>
    <x v="0"/>
    <x v="0"/>
    <x v="0"/>
    <x v="0"/>
  </r>
  <r>
    <x v="152"/>
    <x v="45"/>
    <x v="73"/>
    <x v="152"/>
    <x v="0"/>
    <m/>
    <m/>
    <m/>
    <m/>
    <m/>
    <x v="152"/>
    <m/>
    <m/>
    <x v="148"/>
    <x v="1"/>
    <m/>
    <m/>
    <x v="0"/>
    <x v="0"/>
    <x v="0"/>
    <x v="0"/>
    <x v="0"/>
    <x v="0"/>
    <x v="0"/>
    <x v="0"/>
  </r>
  <r>
    <x v="153"/>
    <x v="101"/>
    <x v="146"/>
    <x v="153"/>
    <x v="6"/>
    <n v="69"/>
    <m/>
    <m/>
    <m/>
    <m/>
    <x v="153"/>
    <n v="1.6170565803788799"/>
    <n v="0.256866709120954"/>
    <x v="149"/>
    <x v="1"/>
    <m/>
    <m/>
    <x v="97"/>
    <x v="0"/>
    <x v="144"/>
    <x v="0"/>
    <x v="0"/>
    <x v="0"/>
    <x v="0"/>
    <x v="0"/>
  </r>
  <r>
    <x v="154"/>
    <x v="79"/>
    <x v="147"/>
    <x v="154"/>
    <x v="41"/>
    <n v="64"/>
    <m/>
    <m/>
    <m/>
    <m/>
    <x v="154"/>
    <n v="1.8406209720736799"/>
    <n v="0.25011158278656997"/>
    <x v="150"/>
    <x v="1"/>
    <m/>
    <m/>
    <x v="98"/>
    <x v="0"/>
    <x v="145"/>
    <x v="0"/>
    <x v="0"/>
    <x v="0"/>
    <x v="0"/>
    <x v="0"/>
  </r>
  <r>
    <x v="155"/>
    <x v="94"/>
    <x v="148"/>
    <x v="155"/>
    <x v="17"/>
    <n v="37"/>
    <m/>
    <m/>
    <m/>
    <m/>
    <x v="155"/>
    <n v="1.52633407852519"/>
    <n v="0.25011158278656997"/>
    <x v="151"/>
    <x v="1"/>
    <m/>
    <m/>
    <x v="99"/>
    <x v="0"/>
    <x v="146"/>
    <x v="0"/>
    <x v="0"/>
    <x v="0"/>
    <x v="0"/>
    <x v="0"/>
  </r>
  <r>
    <x v="156"/>
    <x v="44"/>
    <x v="149"/>
    <x v="156"/>
    <x v="50"/>
    <n v="44"/>
    <m/>
    <m/>
    <m/>
    <m/>
    <x v="156"/>
    <n v="1.8836183849171799"/>
    <n v="0.25011158278656997"/>
    <x v="152"/>
    <x v="1"/>
    <m/>
    <m/>
    <x v="100"/>
    <x v="0"/>
    <x v="147"/>
    <x v="0"/>
    <x v="0"/>
    <x v="0"/>
    <x v="0"/>
    <x v="0"/>
  </r>
  <r>
    <x v="157"/>
    <x v="67"/>
    <x v="150"/>
    <x v="157"/>
    <x v="69"/>
    <n v="24"/>
    <m/>
    <m/>
    <m/>
    <m/>
    <x v="157"/>
    <n v="1.2117645495079901"/>
    <n v="0.27910747799510999"/>
    <x v="153"/>
    <x v="1"/>
    <m/>
    <m/>
    <x v="101"/>
    <x v="0"/>
    <x v="148"/>
    <x v="0"/>
    <x v="0"/>
    <x v="0"/>
    <x v="0"/>
    <x v="0"/>
  </r>
  <r>
    <x v="158"/>
    <x v="94"/>
    <x v="151"/>
    <x v="158"/>
    <x v="42"/>
    <n v="22"/>
    <m/>
    <m/>
    <m/>
    <m/>
    <x v="158"/>
    <n v="1.4558545513116301"/>
    <n v="0.25011158278656997"/>
    <x v="154"/>
    <x v="1"/>
    <m/>
    <m/>
    <x v="0"/>
    <x v="0"/>
    <x v="149"/>
    <x v="0"/>
    <x v="0"/>
    <x v="0"/>
    <x v="0"/>
    <x v="0"/>
  </r>
  <r>
    <x v="159"/>
    <x v="102"/>
    <x v="152"/>
    <x v="159"/>
    <x v="24"/>
    <n v="25"/>
    <m/>
    <m/>
    <m/>
    <m/>
    <x v="159"/>
    <n v="1.60629718994143"/>
    <n v="0.25011158278656997"/>
    <x v="155"/>
    <x v="1"/>
    <m/>
    <m/>
    <x v="0"/>
    <x v="0"/>
    <x v="150"/>
    <x v="12"/>
    <x v="0"/>
    <x v="0"/>
    <x v="0"/>
    <x v="0"/>
  </r>
  <r>
    <x v="160"/>
    <x v="103"/>
    <x v="153"/>
    <x v="160"/>
    <x v="70"/>
    <n v="19"/>
    <m/>
    <m/>
    <m/>
    <m/>
    <x v="160"/>
    <n v="1.47382080026692"/>
    <n v="0.25011158278656997"/>
    <x v="156"/>
    <x v="1"/>
    <m/>
    <m/>
    <x v="0"/>
    <x v="0"/>
    <x v="151"/>
    <x v="0"/>
    <x v="0"/>
    <x v="0"/>
    <x v="0"/>
    <x v="0"/>
  </r>
  <r>
    <x v="161"/>
    <x v="81"/>
    <x v="154"/>
    <x v="161"/>
    <x v="60"/>
    <n v="27"/>
    <m/>
    <m/>
    <m/>
    <m/>
    <x v="161"/>
    <n v="2.0005791572073002"/>
    <n v="0.25039043860663202"/>
    <x v="157"/>
    <x v="1"/>
    <m/>
    <m/>
    <x v="102"/>
    <x v="0"/>
    <x v="152"/>
    <x v="0"/>
    <x v="0"/>
    <x v="0"/>
    <x v="0"/>
    <x v="0"/>
  </r>
  <r>
    <x v="162"/>
    <x v="48"/>
    <x v="155"/>
    <x v="162"/>
    <x v="42"/>
    <n v="22"/>
    <m/>
    <m/>
    <m/>
    <m/>
    <x v="162"/>
    <n v="1.52470437484521"/>
    <n v="0.25011158278656997"/>
    <x v="158"/>
    <x v="1"/>
    <m/>
    <m/>
    <x v="0"/>
    <x v="0"/>
    <x v="153"/>
    <x v="0"/>
    <x v="0"/>
    <x v="0"/>
    <x v="0"/>
    <x v="0"/>
  </r>
  <r>
    <x v="163"/>
    <x v="69"/>
    <x v="156"/>
    <x v="163"/>
    <x v="31"/>
    <n v="2"/>
    <m/>
    <m/>
    <m/>
    <m/>
    <x v="163"/>
    <n v="1.4374392752776499"/>
    <n v="0.25011158278656997"/>
    <x v="159"/>
    <x v="1"/>
    <m/>
    <m/>
    <x v="0"/>
    <x v="0"/>
    <x v="154"/>
    <x v="13"/>
    <x v="0"/>
    <x v="0"/>
    <x v="0"/>
    <x v="0"/>
  </r>
  <r>
    <x v="164"/>
    <x v="65"/>
    <x v="157"/>
    <x v="164"/>
    <x v="30"/>
    <n v="6"/>
    <m/>
    <m/>
    <m/>
    <m/>
    <x v="164"/>
    <n v="1.52686302191458"/>
    <n v="0.26098599942946399"/>
    <x v="160"/>
    <x v="1"/>
    <m/>
    <m/>
    <x v="0"/>
    <x v="0"/>
    <x v="155"/>
    <x v="0"/>
    <x v="0"/>
    <x v="0"/>
    <x v="0"/>
    <x v="0"/>
  </r>
  <r>
    <x v="165"/>
    <x v="85"/>
    <x v="158"/>
    <x v="165"/>
    <x v="69"/>
    <n v="24"/>
    <m/>
    <m/>
    <m/>
    <m/>
    <x v="165"/>
    <n v="1.4138008911842499"/>
    <n v="0.271860416072358"/>
    <x v="161"/>
    <x v="1"/>
    <m/>
    <m/>
    <x v="0"/>
    <x v="0"/>
    <x v="156"/>
    <x v="0"/>
    <x v="0"/>
    <x v="0"/>
    <x v="0"/>
    <x v="0"/>
  </r>
  <r>
    <x v="166"/>
    <x v="104"/>
    <x v="159"/>
    <x v="166"/>
    <x v="0"/>
    <m/>
    <m/>
    <m/>
    <m/>
    <m/>
    <x v="166"/>
    <n v="1.0301217159234299"/>
    <n v="0.25011158278656997"/>
    <x v="162"/>
    <x v="1"/>
    <m/>
    <m/>
    <x v="0"/>
    <x v="0"/>
    <x v="157"/>
    <x v="0"/>
    <x v="0"/>
    <x v="0"/>
    <x v="0"/>
    <x v="0"/>
  </r>
  <r>
    <x v="167"/>
    <x v="105"/>
    <x v="160"/>
    <x v="167"/>
    <x v="3"/>
    <n v="45"/>
    <m/>
    <m/>
    <m/>
    <m/>
    <x v="167"/>
    <n v="1.4903987264051799"/>
    <n v="0.258741492548903"/>
    <x v="163"/>
    <x v="1"/>
    <m/>
    <m/>
    <x v="0"/>
    <x v="0"/>
    <x v="158"/>
    <x v="0"/>
    <x v="0"/>
    <x v="0"/>
    <x v="0"/>
    <x v="0"/>
  </r>
  <r>
    <x v="168"/>
    <x v="90"/>
    <x v="161"/>
    <x v="168"/>
    <x v="71"/>
    <n v="8"/>
    <m/>
    <m/>
    <m/>
    <m/>
    <x v="168"/>
    <n v="1.7290868586117001"/>
    <n v="0.26970504912142801"/>
    <x v="164"/>
    <x v="1"/>
    <m/>
    <m/>
    <x v="0"/>
    <x v="0"/>
    <x v="159"/>
    <x v="0"/>
    <x v="0"/>
    <x v="0"/>
    <x v="0"/>
    <x v="0"/>
  </r>
  <r>
    <x v="169"/>
    <x v="106"/>
    <x v="162"/>
    <x v="169"/>
    <x v="72"/>
    <n v="67"/>
    <m/>
    <m/>
    <m/>
    <m/>
    <x v="169"/>
    <n v="1.76059628710148"/>
    <n v="0.25011158278656997"/>
    <x v="165"/>
    <x v="1"/>
    <m/>
    <m/>
    <x v="103"/>
    <x v="0"/>
    <x v="160"/>
    <x v="14"/>
    <x v="0"/>
    <x v="0"/>
    <x v="0"/>
    <x v="0"/>
  </r>
  <r>
    <x v="170"/>
    <x v="47"/>
    <x v="163"/>
    <x v="170"/>
    <x v="2"/>
    <n v="35"/>
    <m/>
    <m/>
    <m/>
    <m/>
    <x v="170"/>
    <n v="1.5195432577674499"/>
    <n v="0.271860416072358"/>
    <x v="166"/>
    <x v="1"/>
    <m/>
    <m/>
    <x v="104"/>
    <x v="0"/>
    <x v="161"/>
    <x v="0"/>
    <x v="0"/>
    <x v="0"/>
    <x v="0"/>
    <x v="0"/>
  </r>
  <r>
    <x v="171"/>
    <x v="5"/>
    <x v="164"/>
    <x v="171"/>
    <x v="73"/>
    <n v="49"/>
    <m/>
    <m/>
    <m/>
    <m/>
    <x v="171"/>
    <n v="1.6355298289058799"/>
    <n v="0.25011158278656997"/>
    <x v="167"/>
    <x v="1"/>
    <m/>
    <m/>
    <x v="105"/>
    <x v="0"/>
    <x v="162"/>
    <x v="0"/>
    <x v="0"/>
    <x v="0"/>
    <x v="0"/>
    <x v="0"/>
  </r>
  <r>
    <x v="172"/>
    <x v="107"/>
    <x v="165"/>
    <x v="172"/>
    <x v="11"/>
    <n v="41"/>
    <m/>
    <m/>
    <m/>
    <m/>
    <x v="172"/>
    <n v="1.7193794199366601"/>
    <n v="0.25011158278656997"/>
    <x v="168"/>
    <x v="1"/>
    <m/>
    <m/>
    <x v="106"/>
    <x v="0"/>
    <x v="163"/>
    <x v="0"/>
    <x v="0"/>
    <x v="0"/>
    <x v="0"/>
    <x v="0"/>
  </r>
  <r>
    <x v="173"/>
    <x v="108"/>
    <x v="166"/>
    <x v="173"/>
    <x v="74"/>
    <n v="79"/>
    <m/>
    <m/>
    <m/>
    <m/>
    <x v="173"/>
    <n v="2.2357109077817698"/>
    <n v="0.260047105367822"/>
    <x v="169"/>
    <x v="1"/>
    <m/>
    <m/>
    <x v="107"/>
    <x v="0"/>
    <x v="164"/>
    <x v="0"/>
    <x v="0"/>
    <x v="0"/>
    <x v="0"/>
    <x v="0"/>
  </r>
  <r>
    <x v="174"/>
    <x v="19"/>
    <x v="167"/>
    <x v="174"/>
    <x v="13"/>
    <n v="58"/>
    <m/>
    <m/>
    <m/>
    <m/>
    <x v="174"/>
    <n v="1.55200871195373"/>
    <n v="0.25011158278656997"/>
    <x v="170"/>
    <x v="1"/>
    <m/>
    <m/>
    <x v="108"/>
    <x v="0"/>
    <x v="165"/>
    <x v="0"/>
    <x v="0"/>
    <x v="0"/>
    <x v="0"/>
    <x v="0"/>
  </r>
  <r>
    <x v="175"/>
    <x v="109"/>
    <x v="168"/>
    <x v="175"/>
    <x v="34"/>
    <n v="29"/>
    <m/>
    <m/>
    <m/>
    <m/>
    <x v="175"/>
    <n v="1.60652276665958"/>
    <n v="0.25011158278656997"/>
    <x v="171"/>
    <x v="1"/>
    <m/>
    <m/>
    <x v="109"/>
    <x v="0"/>
    <x v="166"/>
    <x v="0"/>
    <x v="0"/>
    <x v="0"/>
    <x v="0"/>
    <x v="0"/>
  </r>
  <r>
    <x v="176"/>
    <x v="1"/>
    <x v="169"/>
    <x v="176"/>
    <x v="19"/>
    <n v="39"/>
    <m/>
    <m/>
    <m/>
    <m/>
    <x v="176"/>
    <n v="1.55944042341571"/>
    <n v="0.25011158278656997"/>
    <x v="172"/>
    <x v="1"/>
    <m/>
    <m/>
    <x v="110"/>
    <x v="0"/>
    <x v="167"/>
    <x v="0"/>
    <x v="0"/>
    <x v="0"/>
    <x v="0"/>
    <x v="0"/>
  </r>
  <r>
    <x v="177"/>
    <x v="110"/>
    <x v="170"/>
    <x v="177"/>
    <x v="66"/>
    <n v="78"/>
    <m/>
    <m/>
    <m/>
    <m/>
    <x v="177"/>
    <n v="2.0092536389824001"/>
    <n v="0.25011158278656997"/>
    <x v="173"/>
    <x v="1"/>
    <m/>
    <m/>
    <x v="111"/>
    <x v="0"/>
    <x v="168"/>
    <x v="0"/>
    <x v="0"/>
    <x v="0"/>
    <x v="0"/>
    <x v="0"/>
  </r>
  <r>
    <x v="178"/>
    <x v="111"/>
    <x v="171"/>
    <x v="178"/>
    <x v="63"/>
    <n v="28"/>
    <m/>
    <m/>
    <m/>
    <m/>
    <x v="178"/>
    <n v="1.8371026098894101"/>
    <n v="0.24885201843049301"/>
    <x v="174"/>
    <x v="1"/>
    <m/>
    <m/>
    <x v="0"/>
    <x v="0"/>
    <x v="169"/>
    <x v="0"/>
    <x v="0"/>
    <x v="0"/>
    <x v="0"/>
    <x v="0"/>
  </r>
  <r>
    <x v="179"/>
    <x v="69"/>
    <x v="172"/>
    <x v="179"/>
    <x v="12"/>
    <n v="36"/>
    <m/>
    <m/>
    <m/>
    <m/>
    <x v="179"/>
    <n v="1.5917025545377901"/>
    <n v="0.26942355876926999"/>
    <x v="175"/>
    <x v="1"/>
    <m/>
    <m/>
    <x v="0"/>
    <x v="0"/>
    <x v="170"/>
    <x v="0"/>
    <x v="0"/>
    <x v="0"/>
    <x v="0"/>
    <x v="0"/>
  </r>
  <r>
    <x v="180"/>
    <x v="112"/>
    <x v="173"/>
    <x v="180"/>
    <x v="14"/>
    <n v="50"/>
    <m/>
    <m/>
    <m/>
    <m/>
    <x v="180"/>
    <n v="1.7230778069608299"/>
    <n v="0.30448366600104099"/>
    <x v="176"/>
    <x v="1"/>
    <m/>
    <m/>
    <x v="112"/>
    <x v="0"/>
    <x v="171"/>
    <x v="0"/>
    <x v="0"/>
    <x v="0"/>
    <x v="0"/>
    <x v="0"/>
  </r>
  <r>
    <x v="181"/>
    <x v="113"/>
    <x v="174"/>
    <x v="181"/>
    <x v="19"/>
    <n v="39"/>
    <m/>
    <m/>
    <m/>
    <m/>
    <x v="181"/>
    <n v="1.5145058658783801"/>
    <n v="0.25011158278656997"/>
    <x v="177"/>
    <x v="1"/>
    <m/>
    <m/>
    <x v="113"/>
    <x v="0"/>
    <x v="172"/>
    <x v="0"/>
    <x v="0"/>
    <x v="0"/>
    <x v="0"/>
    <x v="0"/>
  </r>
  <r>
    <x v="182"/>
    <x v="114"/>
    <x v="175"/>
    <x v="182"/>
    <x v="22"/>
    <n v="51"/>
    <m/>
    <m/>
    <m/>
    <m/>
    <x v="182"/>
    <n v="1.9649195744654799"/>
    <n v="0.25011158278656997"/>
    <x v="178"/>
    <x v="1"/>
    <m/>
    <m/>
    <x v="114"/>
    <x v="0"/>
    <x v="173"/>
    <x v="0"/>
    <x v="0"/>
    <x v="0"/>
    <x v="0"/>
    <x v="0"/>
  </r>
  <r>
    <x v="183"/>
    <x v="115"/>
    <x v="176"/>
    <x v="183"/>
    <x v="62"/>
    <n v="23"/>
    <m/>
    <m/>
    <m/>
    <m/>
    <x v="183"/>
    <n v="1.8349707775834301"/>
    <n v="0.25011158278656997"/>
    <x v="179"/>
    <x v="1"/>
    <m/>
    <m/>
    <x v="0"/>
    <x v="0"/>
    <x v="174"/>
    <x v="0"/>
    <x v="0"/>
    <x v="0"/>
    <x v="0"/>
    <x v="0"/>
  </r>
  <r>
    <x v="184"/>
    <x v="116"/>
    <x v="177"/>
    <x v="184"/>
    <x v="44"/>
    <n v="75"/>
    <m/>
    <m/>
    <m/>
    <m/>
    <x v="184"/>
    <n v="1.76518949642601"/>
    <n v="0.25011158278656997"/>
    <x v="180"/>
    <x v="1"/>
    <m/>
    <m/>
    <x v="115"/>
    <x v="0"/>
    <x v="175"/>
    <x v="0"/>
    <x v="0"/>
    <x v="0"/>
    <x v="0"/>
    <x v="0"/>
  </r>
  <r>
    <x v="185"/>
    <x v="117"/>
    <x v="178"/>
    <x v="185"/>
    <x v="75"/>
    <n v="113"/>
    <m/>
    <m/>
    <m/>
    <m/>
    <x v="185"/>
    <n v="1.9072488743132301"/>
    <n v="0.247287269395779"/>
    <x v="181"/>
    <x v="1"/>
    <m/>
    <m/>
    <x v="116"/>
    <x v="0"/>
    <x v="176"/>
    <x v="15"/>
    <x v="0"/>
    <x v="0"/>
    <x v="0"/>
    <x v="0"/>
  </r>
  <r>
    <x v="186"/>
    <x v="118"/>
    <x v="179"/>
    <x v="186"/>
    <x v="6"/>
    <n v="69"/>
    <m/>
    <m/>
    <m/>
    <m/>
    <x v="186"/>
    <n v="1.7423823698268599"/>
    <n v="0.25011158278656997"/>
    <x v="182"/>
    <x v="1"/>
    <m/>
    <m/>
    <x v="117"/>
    <x v="0"/>
    <x v="177"/>
    <x v="0"/>
    <x v="0"/>
    <x v="0"/>
    <x v="0"/>
    <x v="0"/>
  </r>
  <r>
    <x v="187"/>
    <x v="67"/>
    <x v="180"/>
    <x v="187"/>
    <x v="76"/>
    <n v="16"/>
    <m/>
    <m/>
    <m/>
    <m/>
    <x v="187"/>
    <n v="1.4373408934060601"/>
    <n v="0.26225746049381599"/>
    <x v="183"/>
    <x v="1"/>
    <m/>
    <m/>
    <x v="0"/>
    <x v="0"/>
    <x v="178"/>
    <x v="0"/>
    <x v="0"/>
    <x v="0"/>
    <x v="0"/>
    <x v="0"/>
  </r>
  <r>
    <x v="188"/>
    <x v="104"/>
    <x v="181"/>
    <x v="188"/>
    <x v="5"/>
    <n v="1"/>
    <m/>
    <m/>
    <m/>
    <m/>
    <x v="188"/>
    <n v="1.51035011344736"/>
    <n v="0.271860416072358"/>
    <x v="184"/>
    <x v="1"/>
    <m/>
    <m/>
    <x v="0"/>
    <x v="0"/>
    <x v="179"/>
    <x v="0"/>
    <x v="0"/>
    <x v="0"/>
    <x v="0"/>
    <x v="0"/>
  </r>
  <r>
    <x v="189"/>
    <x v="0"/>
    <x v="73"/>
    <x v="189"/>
    <x v="0"/>
    <m/>
    <m/>
    <m/>
    <m/>
    <m/>
    <x v="189"/>
    <n v="0.32623249242254099"/>
    <n v="0.271860416072358"/>
    <x v="185"/>
    <x v="1"/>
    <m/>
    <m/>
    <x v="0"/>
    <x v="0"/>
    <x v="0"/>
    <x v="0"/>
    <x v="0"/>
    <x v="0"/>
    <x v="0"/>
    <x v="0"/>
  </r>
  <r>
    <x v="190"/>
    <x v="1"/>
    <x v="182"/>
    <x v="190"/>
    <x v="50"/>
    <n v="44"/>
    <m/>
    <m/>
    <m/>
    <m/>
    <x v="190"/>
    <n v="1.67586041537987"/>
    <n v="0.26741072199884403"/>
    <x v="186"/>
    <x v="1"/>
    <m/>
    <m/>
    <x v="118"/>
    <x v="0"/>
    <x v="180"/>
    <x v="0"/>
    <x v="0"/>
    <x v="0"/>
    <x v="0"/>
    <x v="0"/>
  </r>
  <r>
    <x v="191"/>
    <x v="119"/>
    <x v="183"/>
    <x v="191"/>
    <x v="50"/>
    <n v="44"/>
    <m/>
    <m/>
    <m/>
    <m/>
    <x v="191"/>
    <n v="1.7496536734352"/>
    <n v="0.245343717096866"/>
    <x v="187"/>
    <x v="1"/>
    <m/>
    <m/>
    <x v="119"/>
    <x v="0"/>
    <x v="181"/>
    <x v="0"/>
    <x v="0"/>
    <x v="0"/>
    <x v="0"/>
    <x v="0"/>
  </r>
  <r>
    <x v="192"/>
    <x v="91"/>
    <x v="184"/>
    <x v="192"/>
    <x v="42"/>
    <n v="22"/>
    <m/>
    <m/>
    <m/>
    <m/>
    <x v="192"/>
    <n v="1.5069277073379601"/>
    <n v="0.26007648201105998"/>
    <x v="188"/>
    <x v="1"/>
    <m/>
    <m/>
    <x v="120"/>
    <x v="0"/>
    <x v="182"/>
    <x v="0"/>
    <x v="0"/>
    <x v="0"/>
    <x v="0"/>
    <x v="0"/>
  </r>
  <r>
    <x v="193"/>
    <x v="120"/>
    <x v="185"/>
    <x v="193"/>
    <x v="15"/>
    <n v="34"/>
    <m/>
    <m/>
    <m/>
    <m/>
    <x v="193"/>
    <n v="1.72188778802534"/>
    <n v="0.25930887649888701"/>
    <x v="189"/>
    <x v="1"/>
    <m/>
    <m/>
    <x v="121"/>
    <x v="0"/>
    <x v="183"/>
    <x v="0"/>
    <x v="0"/>
    <x v="0"/>
    <x v="0"/>
    <x v="0"/>
  </r>
  <r>
    <x v="194"/>
    <x v="16"/>
    <x v="186"/>
    <x v="194"/>
    <x v="76"/>
    <n v="16"/>
    <m/>
    <m/>
    <m/>
    <m/>
    <x v="194"/>
    <n v="1.64326090860392"/>
    <n v="0.26824432791060598"/>
    <x v="190"/>
    <x v="1"/>
    <m/>
    <m/>
    <x v="0"/>
    <x v="0"/>
    <x v="184"/>
    <x v="0"/>
    <x v="0"/>
    <x v="0"/>
    <x v="0"/>
    <x v="0"/>
  </r>
  <r>
    <x v="195"/>
    <x v="121"/>
    <x v="187"/>
    <x v="195"/>
    <x v="77"/>
    <n v="94"/>
    <m/>
    <m/>
    <m/>
    <m/>
    <x v="195"/>
    <n v="1.67768716984333"/>
    <n v="0.28961364991487398"/>
    <x v="191"/>
    <x v="1"/>
    <m/>
    <m/>
    <x v="122"/>
    <x v="0"/>
    <x v="185"/>
    <x v="16"/>
    <x v="0"/>
    <x v="0"/>
    <x v="0"/>
    <x v="0"/>
  </r>
  <r>
    <x v="196"/>
    <x v="122"/>
    <x v="188"/>
    <x v="196"/>
    <x v="78"/>
    <n v="60"/>
    <m/>
    <m/>
    <m/>
    <m/>
    <x v="196"/>
    <n v="1.60628149893613"/>
    <n v="0.271860416072358"/>
    <x v="192"/>
    <x v="1"/>
    <m/>
    <m/>
    <x v="123"/>
    <x v="0"/>
    <x v="186"/>
    <x v="0"/>
    <x v="0"/>
    <x v="0"/>
    <x v="0"/>
    <x v="0"/>
  </r>
  <r>
    <x v="197"/>
    <x v="44"/>
    <x v="189"/>
    <x v="197"/>
    <x v="43"/>
    <n v="31"/>
    <m/>
    <m/>
    <m/>
    <m/>
    <x v="197"/>
    <n v="1.6355744831052399"/>
    <n v="0.24347054557348299"/>
    <x v="193"/>
    <x v="1"/>
    <m/>
    <m/>
    <x v="124"/>
    <x v="0"/>
    <x v="187"/>
    <x v="0"/>
    <x v="0"/>
    <x v="0"/>
    <x v="0"/>
    <x v="0"/>
  </r>
  <r>
    <x v="198"/>
    <x v="99"/>
    <x v="190"/>
    <x v="198"/>
    <x v="3"/>
    <n v="45"/>
    <m/>
    <m/>
    <m/>
    <m/>
    <x v="198"/>
    <n v="1.5119015668425699"/>
    <n v="0.247535506215497"/>
    <x v="194"/>
    <x v="1"/>
    <m/>
    <m/>
    <x v="125"/>
    <x v="0"/>
    <x v="188"/>
    <x v="0"/>
    <x v="0"/>
    <x v="0"/>
    <x v="0"/>
    <x v="0"/>
  </r>
  <r>
    <x v="199"/>
    <x v="123"/>
    <x v="191"/>
    <x v="199"/>
    <x v="27"/>
    <n v="47"/>
    <m/>
    <m/>
    <m/>
    <m/>
    <x v="199"/>
    <n v="1.9956048243468001"/>
    <n v="0.26098599942946399"/>
    <x v="195"/>
    <x v="1"/>
    <m/>
    <m/>
    <x v="126"/>
    <x v="0"/>
    <x v="189"/>
    <x v="0"/>
    <x v="0"/>
    <x v="0"/>
    <x v="0"/>
    <x v="0"/>
  </r>
  <r>
    <x v="200"/>
    <x v="16"/>
    <x v="192"/>
    <x v="200"/>
    <x v="39"/>
    <n v="26"/>
    <m/>
    <m/>
    <m/>
    <m/>
    <x v="200"/>
    <n v="1.6752564938519201"/>
    <n v="0.28544209501183998"/>
    <x v="196"/>
    <x v="1"/>
    <m/>
    <m/>
    <x v="127"/>
    <x v="0"/>
    <x v="190"/>
    <x v="0"/>
    <x v="0"/>
    <x v="0"/>
    <x v="0"/>
    <x v="0"/>
  </r>
  <r>
    <x v="201"/>
    <x v="1"/>
    <x v="193"/>
    <x v="201"/>
    <x v="35"/>
    <n v="40"/>
    <m/>
    <m/>
    <m/>
    <m/>
    <x v="201"/>
    <n v="1.4861252962606799"/>
    <n v="0.247952320289062"/>
    <x v="197"/>
    <x v="1"/>
    <m/>
    <m/>
    <x v="128"/>
    <x v="0"/>
    <x v="191"/>
    <x v="0"/>
    <x v="0"/>
    <x v="0"/>
    <x v="0"/>
    <x v="0"/>
  </r>
  <r>
    <x v="202"/>
    <x v="124"/>
    <x v="194"/>
    <x v="202"/>
    <x v="51"/>
    <n v="46"/>
    <m/>
    <m/>
    <m/>
    <m/>
    <x v="202"/>
    <n v="1.6351771549456999"/>
    <n v="0.26098599942946399"/>
    <x v="198"/>
    <x v="1"/>
    <m/>
    <m/>
    <x v="129"/>
    <x v="0"/>
    <x v="192"/>
    <x v="0"/>
    <x v="0"/>
    <x v="0"/>
    <x v="0"/>
    <x v="0"/>
  </r>
  <r>
    <x v="203"/>
    <x v="125"/>
    <x v="195"/>
    <x v="203"/>
    <x v="0"/>
    <m/>
    <m/>
    <m/>
    <m/>
    <m/>
    <x v="203"/>
    <n v="0.87022994817631605"/>
    <n v="0.26098599942946399"/>
    <x v="199"/>
    <x v="1"/>
    <m/>
    <m/>
    <x v="0"/>
    <x v="0"/>
    <x v="193"/>
    <x v="0"/>
    <x v="0"/>
    <x v="0"/>
    <x v="0"/>
    <x v="0"/>
  </r>
  <r>
    <x v="204"/>
    <x v="26"/>
    <x v="196"/>
    <x v="204"/>
    <x v="36"/>
    <n v="43"/>
    <m/>
    <m/>
    <m/>
    <m/>
    <x v="204"/>
    <n v="1.57446778756965"/>
    <n v="0.25011158278656997"/>
    <x v="200"/>
    <x v="1"/>
    <m/>
    <m/>
    <x v="130"/>
    <x v="0"/>
    <x v="194"/>
    <x v="0"/>
    <x v="0"/>
    <x v="0"/>
    <x v="0"/>
    <x v="0"/>
  </r>
  <r>
    <x v="205"/>
    <x v="32"/>
    <x v="197"/>
    <x v="205"/>
    <x v="63"/>
    <n v="28"/>
    <m/>
    <m/>
    <m/>
    <m/>
    <x v="205"/>
    <n v="1.4288124701862399"/>
    <n v="0.28273483271525301"/>
    <x v="201"/>
    <x v="1"/>
    <m/>
    <m/>
    <x v="131"/>
    <x v="0"/>
    <x v="195"/>
    <x v="0"/>
    <x v="0"/>
    <x v="0"/>
    <x v="0"/>
    <x v="0"/>
  </r>
  <r>
    <x v="206"/>
    <x v="126"/>
    <x v="198"/>
    <x v="206"/>
    <x v="47"/>
    <n v="73"/>
    <m/>
    <m/>
    <m/>
    <m/>
    <x v="206"/>
    <n v="1.67662325210327"/>
    <n v="0.26098599942946399"/>
    <x v="202"/>
    <x v="1"/>
    <m/>
    <m/>
    <x v="132"/>
    <x v="0"/>
    <x v="196"/>
    <x v="0"/>
    <x v="0"/>
    <x v="0"/>
    <x v="0"/>
    <x v="0"/>
  </r>
  <r>
    <x v="207"/>
    <x v="100"/>
    <x v="199"/>
    <x v="207"/>
    <x v="62"/>
    <n v="23"/>
    <m/>
    <m/>
    <m/>
    <m/>
    <x v="207"/>
    <n v="1.4859332370471201"/>
    <n v="0.26098599942946399"/>
    <x v="203"/>
    <x v="1"/>
    <m/>
    <m/>
    <x v="133"/>
    <x v="0"/>
    <x v="197"/>
    <x v="0"/>
    <x v="0"/>
    <x v="0"/>
    <x v="0"/>
    <x v="0"/>
  </r>
  <r>
    <x v="208"/>
    <x v="127"/>
    <x v="200"/>
    <x v="208"/>
    <x v="79"/>
    <n v="93"/>
    <m/>
    <m/>
    <m/>
    <m/>
    <x v="208"/>
    <n v="1.7164827747656899"/>
    <n v="0.25011158278656997"/>
    <x v="204"/>
    <x v="1"/>
    <m/>
    <m/>
    <x v="134"/>
    <x v="0"/>
    <x v="198"/>
    <x v="0"/>
    <x v="0"/>
    <x v="0"/>
    <x v="0"/>
    <x v="0"/>
  </r>
  <r>
    <x v="209"/>
    <x v="66"/>
    <x v="201"/>
    <x v="209"/>
    <x v="0"/>
    <m/>
    <m/>
    <m/>
    <m/>
    <m/>
    <x v="209"/>
    <n v="1.1130081998378101"/>
    <n v="0.25011158278656997"/>
    <x v="205"/>
    <x v="1"/>
    <m/>
    <m/>
    <x v="0"/>
    <x v="0"/>
    <x v="199"/>
    <x v="0"/>
    <x v="0"/>
    <x v="0"/>
    <x v="0"/>
    <x v="0"/>
  </r>
  <r>
    <x v="210"/>
    <x v="13"/>
    <x v="202"/>
    <x v="210"/>
    <x v="1"/>
    <n v="5"/>
    <m/>
    <m/>
    <m/>
    <m/>
    <x v="210"/>
    <n v="1.4712873082266"/>
    <n v="0.26098599942946399"/>
    <x v="206"/>
    <x v="1"/>
    <m/>
    <m/>
    <x v="0"/>
    <x v="0"/>
    <x v="200"/>
    <x v="0"/>
    <x v="0"/>
    <x v="0"/>
    <x v="0"/>
    <x v="0"/>
  </r>
  <r>
    <x v="211"/>
    <x v="36"/>
    <x v="203"/>
    <x v="211"/>
    <x v="35"/>
    <n v="40"/>
    <m/>
    <m/>
    <m/>
    <m/>
    <x v="211"/>
    <n v="1.5380634008691401"/>
    <n v="0.25011158278656997"/>
    <x v="207"/>
    <x v="1"/>
    <m/>
    <m/>
    <x v="135"/>
    <x v="0"/>
    <x v="201"/>
    <x v="0"/>
    <x v="0"/>
    <x v="0"/>
    <x v="0"/>
    <x v="0"/>
  </r>
  <r>
    <x v="212"/>
    <x v="36"/>
    <x v="204"/>
    <x v="212"/>
    <x v="39"/>
    <n v="26"/>
    <m/>
    <m/>
    <m/>
    <m/>
    <x v="212"/>
    <n v="1.5059031542306101"/>
    <n v="0.246634256563009"/>
    <x v="208"/>
    <x v="1"/>
    <m/>
    <m/>
    <x v="136"/>
    <x v="0"/>
    <x v="202"/>
    <x v="17"/>
    <x v="0"/>
    <x v="0"/>
    <x v="0"/>
    <x v="0"/>
  </r>
  <r>
    <x v="213"/>
    <x v="9"/>
    <x v="205"/>
    <x v="213"/>
    <x v="0"/>
    <m/>
    <m/>
    <m/>
    <m/>
    <m/>
    <x v="213"/>
    <n v="1.5114014499545601"/>
    <n v="0.26098599942946399"/>
    <x v="209"/>
    <x v="1"/>
    <m/>
    <m/>
    <x v="0"/>
    <x v="0"/>
    <x v="203"/>
    <x v="0"/>
    <x v="0"/>
    <x v="0"/>
    <x v="0"/>
    <x v="0"/>
  </r>
  <r>
    <x v="214"/>
    <x v="2"/>
    <x v="206"/>
    <x v="214"/>
    <x v="0"/>
    <m/>
    <m/>
    <m/>
    <m/>
    <m/>
    <x v="214"/>
    <n v="1.55900975990566"/>
    <n v="0.271860416072358"/>
    <x v="210"/>
    <x v="1"/>
    <m/>
    <m/>
    <x v="0"/>
    <x v="0"/>
    <x v="204"/>
    <x v="0"/>
    <x v="0"/>
    <x v="0"/>
    <x v="0"/>
    <x v="0"/>
  </r>
  <r>
    <x v="215"/>
    <x v="78"/>
    <x v="207"/>
    <x v="215"/>
    <x v="19"/>
    <n v="39"/>
    <m/>
    <m/>
    <m/>
    <m/>
    <x v="215"/>
    <n v="1.49327638211817"/>
    <n v="0.24972079860545601"/>
    <x v="211"/>
    <x v="1"/>
    <m/>
    <m/>
    <x v="137"/>
    <x v="0"/>
    <x v="205"/>
    <x v="0"/>
    <x v="0"/>
    <x v="0"/>
    <x v="0"/>
    <x v="0"/>
  </r>
  <r>
    <x v="216"/>
    <x v="71"/>
    <x v="208"/>
    <x v="216"/>
    <x v="46"/>
    <n v="3"/>
    <m/>
    <m/>
    <m/>
    <m/>
    <x v="216"/>
    <n v="1.3845803779822501"/>
    <n v="0.25230067013516999"/>
    <x v="212"/>
    <x v="1"/>
    <m/>
    <m/>
    <x v="0"/>
    <x v="0"/>
    <x v="206"/>
    <x v="0"/>
    <x v="0"/>
    <x v="0"/>
    <x v="0"/>
    <x v="0"/>
  </r>
  <r>
    <x v="217"/>
    <x v="66"/>
    <x v="209"/>
    <x v="217"/>
    <x v="5"/>
    <n v="1"/>
    <m/>
    <m/>
    <m/>
    <m/>
    <x v="217"/>
    <n v="1.4140218876194399"/>
    <n v="0.32623246588062499"/>
    <x v="213"/>
    <x v="1"/>
    <m/>
    <m/>
    <x v="0"/>
    <x v="0"/>
    <x v="207"/>
    <x v="0"/>
    <x v="0"/>
    <x v="0"/>
    <x v="0"/>
    <x v="0"/>
  </r>
  <r>
    <x v="218"/>
    <x v="125"/>
    <x v="210"/>
    <x v="218"/>
    <x v="46"/>
    <n v="3"/>
    <m/>
    <m/>
    <m/>
    <m/>
    <x v="218"/>
    <n v="1.6182522168498601"/>
    <n v="0.28110208691967298"/>
    <x v="214"/>
    <x v="1"/>
    <m/>
    <m/>
    <x v="0"/>
    <x v="0"/>
    <x v="208"/>
    <x v="0"/>
    <x v="0"/>
    <x v="0"/>
    <x v="0"/>
    <x v="0"/>
  </r>
  <r>
    <x v="219"/>
    <x v="48"/>
    <x v="211"/>
    <x v="219"/>
    <x v="36"/>
    <n v="43"/>
    <m/>
    <m/>
    <m/>
    <m/>
    <x v="219"/>
    <n v="1.5373758815058201"/>
    <n v="0.25011158278656997"/>
    <x v="215"/>
    <x v="1"/>
    <m/>
    <m/>
    <x v="138"/>
    <x v="0"/>
    <x v="209"/>
    <x v="0"/>
    <x v="0"/>
    <x v="0"/>
    <x v="0"/>
    <x v="0"/>
  </r>
  <r>
    <x v="220"/>
    <x v="9"/>
    <x v="212"/>
    <x v="220"/>
    <x v="0"/>
    <m/>
    <m/>
    <m/>
    <m/>
    <m/>
    <x v="220"/>
    <n v="0.79168182287853195"/>
    <n v="0.28273483271525301"/>
    <x v="216"/>
    <x v="1"/>
    <m/>
    <m/>
    <x v="0"/>
    <x v="0"/>
    <x v="210"/>
    <x v="0"/>
    <x v="0"/>
    <x v="0"/>
    <x v="0"/>
    <x v="0"/>
  </r>
  <r>
    <x v="221"/>
    <x v="128"/>
    <x v="213"/>
    <x v="221"/>
    <x v="80"/>
    <n v="7"/>
    <m/>
    <m/>
    <m/>
    <m/>
    <x v="221"/>
    <n v="1.58682105773375"/>
    <n v="0.256301985203019"/>
    <x v="217"/>
    <x v="1"/>
    <m/>
    <m/>
    <x v="139"/>
    <x v="0"/>
    <x v="211"/>
    <x v="0"/>
    <x v="0"/>
    <x v="0"/>
    <x v="0"/>
    <x v="0"/>
  </r>
  <r>
    <x v="222"/>
    <x v="60"/>
    <x v="214"/>
    <x v="222"/>
    <x v="0"/>
    <m/>
    <m/>
    <m/>
    <m/>
    <m/>
    <x v="222"/>
    <n v="0.45571249926770102"/>
    <n v="0.25830025708268101"/>
    <x v="218"/>
    <x v="1"/>
    <m/>
    <m/>
    <x v="0"/>
    <x v="0"/>
    <x v="212"/>
    <x v="0"/>
    <x v="0"/>
    <x v="0"/>
    <x v="0"/>
    <x v="0"/>
  </r>
  <r>
    <x v="223"/>
    <x v="2"/>
    <x v="215"/>
    <x v="223"/>
    <x v="0"/>
    <m/>
    <m/>
    <m/>
    <m/>
    <m/>
    <x v="223"/>
    <n v="0.85493129238494303"/>
    <n v="0.25011158278656997"/>
    <x v="219"/>
    <x v="1"/>
    <m/>
    <m/>
    <x v="0"/>
    <x v="0"/>
    <x v="213"/>
    <x v="0"/>
    <x v="0"/>
    <x v="0"/>
    <x v="0"/>
    <x v="0"/>
  </r>
  <r>
    <x v="224"/>
    <x v="33"/>
    <x v="216"/>
    <x v="224"/>
    <x v="17"/>
    <n v="37"/>
    <m/>
    <m/>
    <m/>
    <m/>
    <x v="224"/>
    <n v="1.9436856696409399"/>
    <n v="0.26558909782747098"/>
    <x v="220"/>
    <x v="1"/>
    <m/>
    <m/>
    <x v="140"/>
    <x v="0"/>
    <x v="214"/>
    <x v="0"/>
    <x v="0"/>
    <x v="0"/>
    <x v="0"/>
    <x v="0"/>
  </r>
  <r>
    <x v="225"/>
    <x v="129"/>
    <x v="217"/>
    <x v="225"/>
    <x v="81"/>
    <n v="11"/>
    <m/>
    <m/>
    <m/>
    <m/>
    <x v="225"/>
    <n v="1.5094304220413799"/>
    <n v="0.29360924935814697"/>
    <x v="184"/>
    <x v="1"/>
    <m/>
    <m/>
    <x v="0"/>
    <x v="0"/>
    <x v="215"/>
    <x v="0"/>
    <x v="0"/>
    <x v="0"/>
    <x v="0"/>
    <x v="0"/>
  </r>
  <r>
    <x v="226"/>
    <x v="0"/>
    <x v="218"/>
    <x v="226"/>
    <x v="0"/>
    <m/>
    <m/>
    <m/>
    <m/>
    <m/>
    <x v="226"/>
    <n v="0.698513732837305"/>
    <n v="0.326232490495723"/>
    <x v="221"/>
    <x v="1"/>
    <m/>
    <m/>
    <x v="0"/>
    <x v="0"/>
    <x v="216"/>
    <x v="0"/>
    <x v="0"/>
    <x v="0"/>
    <x v="0"/>
    <x v="0"/>
  </r>
  <r>
    <x v="227"/>
    <x v="130"/>
    <x v="219"/>
    <x v="227"/>
    <x v="49"/>
    <n v="83"/>
    <m/>
    <m/>
    <m/>
    <m/>
    <x v="227"/>
    <n v="1.6816229832993099"/>
    <n v="0.26098599942946399"/>
    <x v="222"/>
    <x v="1"/>
    <m/>
    <m/>
    <x v="141"/>
    <x v="0"/>
    <x v="217"/>
    <x v="0"/>
    <x v="0"/>
    <x v="0"/>
    <x v="0"/>
    <x v="0"/>
  </r>
  <r>
    <x v="228"/>
    <x v="131"/>
    <x v="220"/>
    <x v="228"/>
    <x v="81"/>
    <n v="11"/>
    <m/>
    <m/>
    <m/>
    <m/>
    <x v="228"/>
    <n v="1.6402766432112299"/>
    <n v="0.25011158278656997"/>
    <x v="223"/>
    <x v="1"/>
    <m/>
    <m/>
    <x v="0"/>
    <x v="0"/>
    <x v="218"/>
    <x v="0"/>
    <x v="0"/>
    <x v="0"/>
    <x v="0"/>
    <x v="0"/>
  </r>
  <r>
    <x v="229"/>
    <x v="132"/>
    <x v="221"/>
    <x v="229"/>
    <x v="60"/>
    <n v="26"/>
    <m/>
    <m/>
    <m/>
    <m/>
    <x v="229"/>
    <n v="2.3705842958711898"/>
    <n v="0.25011158278656997"/>
    <x v="224"/>
    <x v="1"/>
    <m/>
    <m/>
    <x v="0"/>
    <x v="0"/>
    <x v="219"/>
    <x v="0"/>
    <x v="0"/>
    <x v="0"/>
    <x v="0"/>
    <x v="0"/>
  </r>
  <r>
    <x v="230"/>
    <x v="133"/>
    <x v="222"/>
    <x v="230"/>
    <x v="82"/>
    <n v="10"/>
    <m/>
    <m/>
    <m/>
    <m/>
    <x v="230"/>
    <n v="1.3990561728194599"/>
    <n v="0.25328310464576198"/>
    <x v="225"/>
    <x v="1"/>
    <m/>
    <m/>
    <x v="0"/>
    <x v="0"/>
    <x v="220"/>
    <x v="0"/>
    <x v="0"/>
    <x v="0"/>
    <x v="0"/>
    <x v="0"/>
  </r>
  <r>
    <x v="231"/>
    <x v="22"/>
    <x v="223"/>
    <x v="231"/>
    <x v="83"/>
    <n v="13"/>
    <m/>
    <m/>
    <m/>
    <m/>
    <x v="231"/>
    <n v="1.48191389585051"/>
    <n v="0.26098599942946399"/>
    <x v="226"/>
    <x v="1"/>
    <m/>
    <m/>
    <x v="0"/>
    <x v="0"/>
    <x v="221"/>
    <x v="0"/>
    <x v="0"/>
    <x v="0"/>
    <x v="0"/>
    <x v="0"/>
  </r>
  <r>
    <x v="232"/>
    <x v="134"/>
    <x v="224"/>
    <x v="232"/>
    <x v="56"/>
    <n v="54"/>
    <m/>
    <m/>
    <m/>
    <m/>
    <x v="232"/>
    <n v="1.52733067065256"/>
    <n v="0.257898543669554"/>
    <x v="227"/>
    <x v="1"/>
    <m/>
    <m/>
    <x v="0"/>
    <x v="0"/>
    <x v="222"/>
    <x v="0"/>
    <x v="0"/>
    <x v="0"/>
    <x v="0"/>
    <x v="0"/>
  </r>
  <r>
    <x v="233"/>
    <x v="47"/>
    <x v="225"/>
    <x v="233"/>
    <x v="39"/>
    <n v="24"/>
    <m/>
    <m/>
    <m/>
    <m/>
    <x v="233"/>
    <n v="2.05954330097375"/>
    <n v="0.26098599942946399"/>
    <x v="228"/>
    <x v="1"/>
    <m/>
    <m/>
    <x v="0"/>
    <x v="0"/>
    <x v="223"/>
    <x v="0"/>
    <x v="0"/>
    <x v="0"/>
    <x v="0"/>
    <x v="0"/>
  </r>
  <r>
    <x v="234"/>
    <x v="129"/>
    <x v="226"/>
    <x v="234"/>
    <x v="82"/>
    <n v="10"/>
    <m/>
    <m/>
    <m/>
    <m/>
    <x v="234"/>
    <n v="1.5227200640316001"/>
    <n v="0.291106476436435"/>
    <x v="229"/>
    <x v="1"/>
    <m/>
    <m/>
    <x v="0"/>
    <x v="0"/>
    <x v="224"/>
    <x v="0"/>
    <x v="0"/>
    <x v="0"/>
    <x v="0"/>
    <x v="0"/>
  </r>
  <r>
    <x v="235"/>
    <x v="135"/>
    <x v="227"/>
    <x v="235"/>
    <x v="80"/>
    <n v="7"/>
    <m/>
    <m/>
    <m/>
    <m/>
    <x v="235"/>
    <n v="1.4429867907376901"/>
    <n v="0.25011158278656997"/>
    <x v="230"/>
    <x v="1"/>
    <m/>
    <m/>
    <x v="0"/>
    <x v="0"/>
    <x v="225"/>
    <x v="0"/>
    <x v="0"/>
    <x v="0"/>
    <x v="0"/>
    <x v="0"/>
  </r>
  <r>
    <x v="236"/>
    <x v="78"/>
    <x v="228"/>
    <x v="236"/>
    <x v="69"/>
    <n v="24"/>
    <m/>
    <m/>
    <m/>
    <m/>
    <x v="236"/>
    <n v="1.52124393729186"/>
    <n v="0.25011158278656997"/>
    <x v="231"/>
    <x v="1"/>
    <m/>
    <m/>
    <x v="142"/>
    <x v="0"/>
    <x v="226"/>
    <x v="0"/>
    <x v="0"/>
    <x v="0"/>
    <x v="0"/>
    <x v="0"/>
  </r>
  <r>
    <x v="237"/>
    <x v="44"/>
    <x v="229"/>
    <x v="237"/>
    <x v="59"/>
    <n v="48"/>
    <m/>
    <m/>
    <m/>
    <m/>
    <x v="237"/>
    <n v="1.51413104861548"/>
    <n v="0.28273483271525301"/>
    <x v="232"/>
    <x v="1"/>
    <m/>
    <m/>
    <x v="143"/>
    <x v="0"/>
    <x v="227"/>
    <x v="0"/>
    <x v="0"/>
    <x v="0"/>
    <x v="0"/>
    <x v="0"/>
  </r>
  <r>
    <x v="238"/>
    <x v="136"/>
    <x v="230"/>
    <x v="238"/>
    <x v="5"/>
    <n v="1"/>
    <m/>
    <m/>
    <m/>
    <m/>
    <x v="238"/>
    <n v="1.2804801724712001"/>
    <n v="0.25011158278656997"/>
    <x v="233"/>
    <x v="1"/>
    <m/>
    <m/>
    <x v="0"/>
    <x v="0"/>
    <x v="228"/>
    <x v="0"/>
    <x v="0"/>
    <x v="0"/>
    <x v="0"/>
    <x v="0"/>
  </r>
  <r>
    <x v="239"/>
    <x v="137"/>
    <x v="231"/>
    <x v="239"/>
    <x v="73"/>
    <n v="49"/>
    <m/>
    <m/>
    <m/>
    <m/>
    <x v="239"/>
    <n v="1.25154994882826"/>
    <n v="0.271860416072358"/>
    <x v="234"/>
    <x v="1"/>
    <m/>
    <m/>
    <x v="144"/>
    <x v="0"/>
    <x v="229"/>
    <x v="0"/>
    <x v="0"/>
    <x v="0"/>
    <x v="0"/>
    <x v="0"/>
  </r>
  <r>
    <x v="240"/>
    <x v="138"/>
    <x v="232"/>
    <x v="240"/>
    <x v="17"/>
    <n v="37"/>
    <m/>
    <m/>
    <m/>
    <m/>
    <x v="240"/>
    <n v="1.67517452421505"/>
    <n v="0.249554877157044"/>
    <x v="235"/>
    <x v="1"/>
    <m/>
    <m/>
    <x v="145"/>
    <x v="0"/>
    <x v="230"/>
    <x v="0"/>
    <x v="0"/>
    <x v="0"/>
    <x v="0"/>
    <x v="0"/>
  </r>
  <r>
    <x v="241"/>
    <x v="45"/>
    <x v="73"/>
    <x v="241"/>
    <x v="0"/>
    <m/>
    <m/>
    <m/>
    <m/>
    <m/>
    <x v="83"/>
    <n v="0.25011158278656997"/>
    <n v="0.25011158278656997"/>
    <x v="236"/>
    <x v="1"/>
    <m/>
    <m/>
    <x v="0"/>
    <x v="0"/>
    <x v="0"/>
    <x v="0"/>
    <x v="0"/>
    <x v="0"/>
    <x v="0"/>
    <x v="0"/>
  </r>
  <r>
    <x v="242"/>
    <x v="139"/>
    <x v="233"/>
    <x v="242"/>
    <x v="0"/>
    <m/>
    <m/>
    <m/>
    <m/>
    <m/>
    <x v="241"/>
    <n v="1.3302257453447199"/>
    <n v="0.49894546447847699"/>
    <x v="210"/>
    <x v="1"/>
    <m/>
    <m/>
    <x v="0"/>
    <x v="0"/>
    <x v="231"/>
    <x v="0"/>
    <x v="0"/>
    <x v="0"/>
    <x v="0"/>
    <x v="0"/>
  </r>
  <r>
    <x v="243"/>
    <x v="21"/>
    <x v="234"/>
    <x v="243"/>
    <x v="69"/>
    <n v="24"/>
    <m/>
    <m/>
    <m/>
    <m/>
    <x v="242"/>
    <n v="2.0785304591466902"/>
    <n v="0.25569052975967199"/>
    <x v="237"/>
    <x v="1"/>
    <m/>
    <m/>
    <x v="0"/>
    <x v="0"/>
    <x v="232"/>
    <x v="0"/>
    <x v="0"/>
    <x v="0"/>
    <x v="0"/>
    <x v="0"/>
  </r>
  <r>
    <x v="244"/>
    <x v="11"/>
    <x v="235"/>
    <x v="244"/>
    <x v="60"/>
    <n v="27"/>
    <m/>
    <m/>
    <m/>
    <m/>
    <x v="243"/>
    <n v="2.05295284259797"/>
    <n v="0.24995629124588301"/>
    <x v="238"/>
    <x v="1"/>
    <m/>
    <m/>
    <x v="146"/>
    <x v="0"/>
    <x v="233"/>
    <x v="0"/>
    <x v="0"/>
    <x v="0"/>
    <x v="0"/>
    <x v="0"/>
  </r>
  <r>
    <x v="245"/>
    <x v="77"/>
    <x v="236"/>
    <x v="245"/>
    <x v="26"/>
    <n v="38"/>
    <m/>
    <m/>
    <m/>
    <m/>
    <x v="244"/>
    <n v="1.65086302357825"/>
    <n v="0.32623248410219102"/>
    <x v="239"/>
    <x v="1"/>
    <m/>
    <m/>
    <x v="147"/>
    <x v="0"/>
    <x v="234"/>
    <x v="0"/>
    <x v="0"/>
    <x v="0"/>
    <x v="0"/>
    <x v="0"/>
  </r>
  <r>
    <x v="246"/>
    <x v="139"/>
    <x v="237"/>
    <x v="246"/>
    <x v="0"/>
    <m/>
    <m/>
    <m/>
    <m/>
    <m/>
    <x v="245"/>
    <n v="1.44380757271265"/>
    <n v="0.275232538102889"/>
    <x v="240"/>
    <x v="1"/>
    <m/>
    <m/>
    <x v="0"/>
    <x v="0"/>
    <x v="235"/>
    <x v="0"/>
    <x v="0"/>
    <x v="0"/>
    <x v="0"/>
    <x v="0"/>
  </r>
  <r>
    <x v="247"/>
    <x v="8"/>
    <x v="238"/>
    <x v="247"/>
    <x v="84"/>
    <n v="108"/>
    <m/>
    <m/>
    <m/>
    <m/>
    <x v="246"/>
    <n v="1.49261187370778"/>
    <n v="0.25908590195577602"/>
    <x v="241"/>
    <x v="1"/>
    <m/>
    <m/>
    <x v="148"/>
    <x v="0"/>
    <x v="236"/>
    <x v="0"/>
    <x v="0"/>
    <x v="0"/>
    <x v="0"/>
    <x v="0"/>
  </r>
  <r>
    <x v="248"/>
    <x v="18"/>
    <x v="239"/>
    <x v="248"/>
    <x v="59"/>
    <n v="48"/>
    <m/>
    <m/>
    <m/>
    <m/>
    <x v="247"/>
    <n v="1.49402766228213"/>
    <n v="0.28273483271525301"/>
    <x v="242"/>
    <x v="1"/>
    <m/>
    <m/>
    <x v="149"/>
    <x v="0"/>
    <x v="237"/>
    <x v="0"/>
    <x v="0"/>
    <x v="0"/>
    <x v="0"/>
    <x v="0"/>
  </r>
  <r>
    <x v="249"/>
    <x v="7"/>
    <x v="240"/>
    <x v="249"/>
    <x v="0"/>
    <m/>
    <m/>
    <m/>
    <m/>
    <m/>
    <x v="248"/>
    <n v="0.57764567916333698"/>
    <n v="0.32623249540238702"/>
    <x v="243"/>
    <x v="1"/>
    <m/>
    <m/>
    <x v="0"/>
    <x v="0"/>
    <x v="238"/>
    <x v="0"/>
    <x v="0"/>
    <x v="0"/>
    <x v="0"/>
    <x v="0"/>
  </r>
  <r>
    <x v="250"/>
    <x v="39"/>
    <x v="241"/>
    <x v="250"/>
    <x v="1"/>
    <n v="5"/>
    <m/>
    <m/>
    <m/>
    <m/>
    <x v="249"/>
    <n v="1.5181906368264"/>
    <n v="0.25011158278656997"/>
    <x v="244"/>
    <x v="1"/>
    <m/>
    <m/>
    <x v="0"/>
    <x v="0"/>
    <x v="239"/>
    <x v="0"/>
    <x v="0"/>
    <x v="0"/>
    <x v="0"/>
    <x v="0"/>
  </r>
  <r>
    <x v="251"/>
    <x v="140"/>
    <x v="242"/>
    <x v="251"/>
    <x v="85"/>
    <n v="88"/>
    <m/>
    <m/>
    <m/>
    <m/>
    <x v="250"/>
    <n v="1.28136667546681"/>
    <n v="0.271860416072358"/>
    <x v="245"/>
    <x v="1"/>
    <m/>
    <m/>
    <x v="150"/>
    <x v="0"/>
    <x v="240"/>
    <x v="0"/>
    <x v="0"/>
    <x v="0"/>
    <x v="0"/>
    <x v="0"/>
  </r>
  <r>
    <x v="252"/>
    <x v="66"/>
    <x v="243"/>
    <x v="252"/>
    <x v="0"/>
    <m/>
    <m/>
    <m/>
    <m/>
    <m/>
    <x v="251"/>
    <n v="1.04313898668061"/>
    <n v="0.26098599942946399"/>
    <x v="246"/>
    <x v="1"/>
    <m/>
    <m/>
    <x v="0"/>
    <x v="0"/>
    <x v="241"/>
    <x v="0"/>
    <x v="0"/>
    <x v="0"/>
    <x v="0"/>
    <x v="0"/>
  </r>
  <r>
    <x v="253"/>
    <x v="53"/>
    <x v="244"/>
    <x v="253"/>
    <x v="86"/>
    <n v="111"/>
    <m/>
    <m/>
    <m/>
    <m/>
    <x v="252"/>
    <n v="1.10433315288365"/>
    <n v="0.25011158278656997"/>
    <x v="247"/>
    <x v="1"/>
    <m/>
    <m/>
    <x v="151"/>
    <x v="0"/>
    <x v="242"/>
    <x v="0"/>
    <x v="0"/>
    <x v="0"/>
    <x v="0"/>
    <x v="0"/>
  </r>
  <r>
    <x v="254"/>
    <x v="20"/>
    <x v="245"/>
    <x v="254"/>
    <x v="57"/>
    <n v="66"/>
    <m/>
    <m/>
    <m/>
    <m/>
    <x v="253"/>
    <n v="1.4197964795339499"/>
    <n v="0.27818258447421601"/>
    <x v="248"/>
    <x v="1"/>
    <m/>
    <m/>
    <x v="152"/>
    <x v="0"/>
    <x v="243"/>
    <x v="0"/>
    <x v="0"/>
    <x v="0"/>
    <x v="0"/>
    <x v="0"/>
  </r>
  <r>
    <x v="255"/>
    <x v="102"/>
    <x v="246"/>
    <x v="255"/>
    <x v="47"/>
    <n v="73"/>
    <m/>
    <m/>
    <m/>
    <m/>
    <x v="254"/>
    <n v="1.7201513736927401"/>
    <n v="0.27631336854930899"/>
    <x v="249"/>
    <x v="1"/>
    <m/>
    <m/>
    <x v="153"/>
    <x v="0"/>
    <x v="244"/>
    <x v="0"/>
    <x v="0"/>
    <x v="0"/>
    <x v="0"/>
    <x v="0"/>
  </r>
  <r>
    <x v="256"/>
    <x v="141"/>
    <x v="247"/>
    <x v="256"/>
    <x v="82"/>
    <n v="10"/>
    <m/>
    <m/>
    <m/>
    <m/>
    <x v="255"/>
    <n v="1.4431233662093399"/>
    <n v="0.25011158278656997"/>
    <x v="250"/>
    <x v="1"/>
    <m/>
    <m/>
    <x v="0"/>
    <x v="0"/>
    <x v="245"/>
    <x v="0"/>
    <x v="0"/>
    <x v="0"/>
    <x v="0"/>
    <x v="0"/>
  </r>
  <r>
    <x v="257"/>
    <x v="142"/>
    <x v="248"/>
    <x v="257"/>
    <x v="43"/>
    <n v="31"/>
    <m/>
    <m/>
    <m/>
    <m/>
    <x v="256"/>
    <n v="1.5523907215610799"/>
    <n v="0.25011158278656997"/>
    <x v="251"/>
    <x v="1"/>
    <m/>
    <m/>
    <x v="0"/>
    <x v="0"/>
    <x v="246"/>
    <x v="0"/>
    <x v="0"/>
    <x v="0"/>
    <x v="0"/>
    <x v="0"/>
  </r>
  <r>
    <x v="258"/>
    <x v="143"/>
    <x v="249"/>
    <x v="258"/>
    <x v="87"/>
    <n v="15"/>
    <m/>
    <m/>
    <m/>
    <m/>
    <x v="257"/>
    <n v="1.49346591161522"/>
    <n v="0.25011158278656997"/>
    <x v="252"/>
    <x v="1"/>
    <m/>
    <m/>
    <x v="0"/>
    <x v="0"/>
    <x v="247"/>
    <x v="0"/>
    <x v="0"/>
    <x v="0"/>
    <x v="0"/>
    <x v="0"/>
  </r>
  <r>
    <x v="259"/>
    <x v="23"/>
    <x v="250"/>
    <x v="259"/>
    <x v="88"/>
    <n v="12"/>
    <m/>
    <m/>
    <m/>
    <m/>
    <x v="258"/>
    <n v="1.5251795817538401"/>
    <n v="0.26098599942946399"/>
    <x v="253"/>
    <x v="1"/>
    <m/>
    <m/>
    <x v="0"/>
    <x v="0"/>
    <x v="248"/>
    <x v="0"/>
    <x v="0"/>
    <x v="0"/>
    <x v="0"/>
    <x v="0"/>
  </r>
  <r>
    <x v="260"/>
    <x v="26"/>
    <x v="251"/>
    <x v="260"/>
    <x v="43"/>
    <n v="31"/>
    <m/>
    <m/>
    <m/>
    <m/>
    <x v="259"/>
    <n v="1.43297172062096"/>
    <n v="0.25011158278656997"/>
    <x v="254"/>
    <x v="1"/>
    <m/>
    <m/>
    <x v="154"/>
    <x v="0"/>
    <x v="249"/>
    <x v="0"/>
    <x v="0"/>
    <x v="0"/>
    <x v="0"/>
    <x v="0"/>
  </r>
  <r>
    <x v="261"/>
    <x v="144"/>
    <x v="252"/>
    <x v="261"/>
    <x v="5"/>
    <n v="1"/>
    <m/>
    <m/>
    <m/>
    <m/>
    <x v="260"/>
    <n v="1.50266185641066"/>
    <n v="0.25011158278656997"/>
    <x v="255"/>
    <x v="1"/>
    <m/>
    <m/>
    <x v="0"/>
    <x v="0"/>
    <x v="250"/>
    <x v="0"/>
    <x v="0"/>
    <x v="0"/>
    <x v="0"/>
    <x v="0"/>
  </r>
  <r>
    <x v="262"/>
    <x v="49"/>
    <x v="253"/>
    <x v="262"/>
    <x v="0"/>
    <m/>
    <m/>
    <m/>
    <m/>
    <m/>
    <x v="261"/>
    <n v="1.2037549466925599"/>
    <n v="0.25011158278656997"/>
    <x v="256"/>
    <x v="1"/>
    <m/>
    <m/>
    <x v="0"/>
    <x v="0"/>
    <x v="251"/>
    <x v="0"/>
    <x v="0"/>
    <x v="0"/>
    <x v="0"/>
    <x v="0"/>
  </r>
  <r>
    <x v="263"/>
    <x v="38"/>
    <x v="254"/>
    <x v="263"/>
    <x v="0"/>
    <m/>
    <m/>
    <m/>
    <m/>
    <m/>
    <x v="262"/>
    <n v="1.4622795518818099"/>
    <n v="0.26098599942946399"/>
    <x v="257"/>
    <x v="1"/>
    <m/>
    <m/>
    <x v="0"/>
    <x v="0"/>
    <x v="252"/>
    <x v="0"/>
    <x v="0"/>
    <x v="0"/>
    <x v="0"/>
    <x v="0"/>
  </r>
  <r>
    <x v="264"/>
    <x v="34"/>
    <x v="255"/>
    <x v="264"/>
    <x v="69"/>
    <n v="24"/>
    <m/>
    <m/>
    <m/>
    <m/>
    <x v="263"/>
    <n v="1.60040463294577"/>
    <n v="0.25011158278656997"/>
    <x v="258"/>
    <x v="1"/>
    <m/>
    <m/>
    <x v="0"/>
    <x v="0"/>
    <x v="253"/>
    <x v="0"/>
    <x v="0"/>
    <x v="0"/>
    <x v="0"/>
    <x v="0"/>
  </r>
  <r>
    <x v="265"/>
    <x v="57"/>
    <x v="256"/>
    <x v="265"/>
    <x v="32"/>
    <n v="65"/>
    <m/>
    <m/>
    <m/>
    <m/>
    <x v="264"/>
    <n v="1.50065187532716"/>
    <n v="0.25011158278656997"/>
    <x v="259"/>
    <x v="1"/>
    <m/>
    <m/>
    <x v="155"/>
    <x v="0"/>
    <x v="254"/>
    <x v="0"/>
    <x v="0"/>
    <x v="0"/>
    <x v="0"/>
    <x v="0"/>
  </r>
  <r>
    <x v="266"/>
    <x v="145"/>
    <x v="257"/>
    <x v="266"/>
    <x v="0"/>
    <m/>
    <m/>
    <m/>
    <m/>
    <m/>
    <x v="265"/>
    <n v="1.06384512393749"/>
    <n v="0.26098599942946399"/>
    <x v="260"/>
    <x v="1"/>
    <m/>
    <m/>
    <x v="0"/>
    <x v="0"/>
    <x v="255"/>
    <x v="0"/>
    <x v="0"/>
    <x v="0"/>
    <x v="0"/>
    <x v="0"/>
  </r>
  <r>
    <x v="267"/>
    <x v="146"/>
    <x v="258"/>
    <x v="267"/>
    <x v="83"/>
    <n v="13"/>
    <m/>
    <m/>
    <m/>
    <m/>
    <x v="266"/>
    <n v="1.7895450440139999"/>
    <n v="0.25011158278656997"/>
    <x v="261"/>
    <x v="1"/>
    <m/>
    <m/>
    <x v="0"/>
    <x v="0"/>
    <x v="256"/>
    <x v="0"/>
    <x v="0"/>
    <x v="0"/>
    <x v="0"/>
    <x v="0"/>
  </r>
  <r>
    <x v="268"/>
    <x v="123"/>
    <x v="259"/>
    <x v="268"/>
    <x v="31"/>
    <n v="2"/>
    <m/>
    <m/>
    <m/>
    <m/>
    <x v="267"/>
    <n v="1.4157204030158399"/>
    <n v="0.26098599942946399"/>
    <x v="262"/>
    <x v="1"/>
    <m/>
    <m/>
    <x v="0"/>
    <x v="0"/>
    <x v="257"/>
    <x v="0"/>
    <x v="0"/>
    <x v="0"/>
    <x v="0"/>
    <x v="0"/>
  </r>
  <r>
    <x v="269"/>
    <x v="123"/>
    <x v="260"/>
    <x v="269"/>
    <x v="31"/>
    <n v="2"/>
    <m/>
    <m/>
    <m/>
    <m/>
    <x v="268"/>
    <n v="1.6224300140524901"/>
    <n v="0.26098599942946399"/>
    <x v="263"/>
    <x v="1"/>
    <m/>
    <m/>
    <x v="0"/>
    <x v="0"/>
    <x v="258"/>
    <x v="0"/>
    <x v="0"/>
    <x v="0"/>
    <x v="0"/>
    <x v="0"/>
  </r>
  <r>
    <x v="270"/>
    <x v="138"/>
    <x v="261"/>
    <x v="270"/>
    <x v="43"/>
    <n v="31"/>
    <m/>
    <m/>
    <m/>
    <m/>
    <x v="269"/>
    <n v="1.5571797397400899"/>
    <n v="0.25011158278656997"/>
    <x v="264"/>
    <x v="1"/>
    <m/>
    <m/>
    <x v="0"/>
    <x v="0"/>
    <x v="259"/>
    <x v="0"/>
    <x v="0"/>
    <x v="0"/>
    <x v="0"/>
    <x v="0"/>
  </r>
  <r>
    <x v="271"/>
    <x v="10"/>
    <x v="262"/>
    <x v="271"/>
    <x v="5"/>
    <n v="1"/>
    <m/>
    <m/>
    <m/>
    <m/>
    <x v="270"/>
    <n v="1.4054734028747999"/>
    <n v="0.24565578803888499"/>
    <x v="265"/>
    <x v="1"/>
    <m/>
    <m/>
    <x v="0"/>
    <x v="0"/>
    <x v="260"/>
    <x v="0"/>
    <x v="0"/>
    <x v="0"/>
    <x v="0"/>
    <x v="0"/>
  </r>
  <r>
    <x v="272"/>
    <x v="62"/>
    <x v="263"/>
    <x v="272"/>
    <x v="5"/>
    <n v="1"/>
    <m/>
    <m/>
    <m/>
    <m/>
    <x v="271"/>
    <n v="1.3044024458152499"/>
    <n v="0.315358082643936"/>
    <x v="266"/>
    <x v="1"/>
    <m/>
    <m/>
    <x v="0"/>
    <x v="0"/>
    <x v="261"/>
    <x v="0"/>
    <x v="0"/>
    <x v="0"/>
    <x v="0"/>
    <x v="0"/>
  </r>
  <r>
    <x v="273"/>
    <x v="72"/>
    <x v="264"/>
    <x v="273"/>
    <x v="23"/>
    <n v="13"/>
    <m/>
    <m/>
    <m/>
    <m/>
    <x v="272"/>
    <n v="2.09138971371886"/>
    <n v="0.25009689713232303"/>
    <x v="267"/>
    <x v="1"/>
    <m/>
    <m/>
    <x v="0"/>
    <x v="0"/>
    <x v="262"/>
    <x v="0"/>
    <x v="0"/>
    <x v="0"/>
    <x v="0"/>
    <x v="0"/>
  </r>
  <r>
    <x v="274"/>
    <x v="145"/>
    <x v="265"/>
    <x v="274"/>
    <x v="31"/>
    <n v="2"/>
    <m/>
    <m/>
    <m/>
    <m/>
    <x v="273"/>
    <n v="1.2967489986315801"/>
    <n v="0.25011158278656997"/>
    <x v="268"/>
    <x v="1"/>
    <m/>
    <m/>
    <x v="0"/>
    <x v="0"/>
    <x v="263"/>
    <x v="0"/>
    <x v="0"/>
    <x v="0"/>
    <x v="0"/>
    <x v="0"/>
  </r>
  <r>
    <x v="275"/>
    <x v="105"/>
    <x v="266"/>
    <x v="275"/>
    <x v="18"/>
    <n v="42"/>
    <m/>
    <m/>
    <m/>
    <m/>
    <x v="274"/>
    <n v="1.4491295122241299"/>
    <n v="0.25097810747585098"/>
    <x v="269"/>
    <x v="1"/>
    <m/>
    <m/>
    <x v="0"/>
    <x v="0"/>
    <x v="264"/>
    <x v="0"/>
    <x v="0"/>
    <x v="0"/>
    <x v="0"/>
    <x v="0"/>
  </r>
  <r>
    <x v="276"/>
    <x v="10"/>
    <x v="267"/>
    <x v="276"/>
    <x v="23"/>
    <n v="18"/>
    <m/>
    <m/>
    <m/>
    <m/>
    <x v="275"/>
    <n v="1.97601684125823"/>
    <n v="0.26453298175179502"/>
    <x v="270"/>
    <x v="1"/>
    <m/>
    <m/>
    <x v="0"/>
    <x v="0"/>
    <x v="265"/>
    <x v="0"/>
    <x v="0"/>
    <x v="0"/>
    <x v="0"/>
    <x v="0"/>
  </r>
  <r>
    <x v="277"/>
    <x v="13"/>
    <x v="268"/>
    <x v="277"/>
    <x v="0"/>
    <m/>
    <m/>
    <m/>
    <m/>
    <m/>
    <x v="276"/>
    <n v="1.32797867794749"/>
    <n v="0.30448366600104099"/>
    <x v="271"/>
    <x v="1"/>
    <m/>
    <m/>
    <x v="0"/>
    <x v="0"/>
    <x v="266"/>
    <x v="0"/>
    <x v="0"/>
    <x v="0"/>
    <x v="0"/>
    <x v="0"/>
  </r>
  <r>
    <x v="278"/>
    <x v="10"/>
    <x v="269"/>
    <x v="278"/>
    <x v="23"/>
    <n v="15"/>
    <m/>
    <m/>
    <m/>
    <m/>
    <x v="277"/>
    <n v="2.9484963348452"/>
    <n v="0.25011158278656997"/>
    <x v="272"/>
    <x v="1"/>
    <m/>
    <m/>
    <x v="0"/>
    <x v="0"/>
    <x v="267"/>
    <x v="0"/>
    <x v="0"/>
    <x v="0"/>
    <x v="0"/>
    <x v="0"/>
  </r>
  <r>
    <x v="279"/>
    <x v="58"/>
    <x v="270"/>
    <x v="279"/>
    <x v="0"/>
    <m/>
    <m/>
    <m/>
    <m/>
    <m/>
    <x v="278"/>
    <n v="0.91633297383082701"/>
    <n v="0.25011158278656997"/>
    <x v="273"/>
    <x v="1"/>
    <m/>
    <m/>
    <x v="0"/>
    <x v="0"/>
    <x v="268"/>
    <x v="0"/>
    <x v="0"/>
    <x v="0"/>
    <x v="0"/>
    <x v="0"/>
  </r>
  <r>
    <x v="280"/>
    <x v="40"/>
    <x v="271"/>
    <x v="280"/>
    <x v="9"/>
    <n v="9"/>
    <m/>
    <m/>
    <m/>
    <m/>
    <x v="279"/>
    <n v="1.6792616476429501"/>
    <n v="0.25011158278656997"/>
    <x v="274"/>
    <x v="1"/>
    <m/>
    <m/>
    <x v="0"/>
    <x v="0"/>
    <x v="269"/>
    <x v="0"/>
    <x v="0"/>
    <x v="0"/>
    <x v="0"/>
    <x v="0"/>
  </r>
  <r>
    <x v="281"/>
    <x v="59"/>
    <x v="272"/>
    <x v="281"/>
    <x v="0"/>
    <m/>
    <m/>
    <m/>
    <m/>
    <m/>
    <x v="280"/>
    <n v="1.1779784653074299"/>
    <n v="0.28637563177553099"/>
    <x v="275"/>
    <x v="1"/>
    <m/>
    <m/>
    <x v="0"/>
    <x v="0"/>
    <x v="270"/>
    <x v="0"/>
    <x v="0"/>
    <x v="0"/>
    <x v="0"/>
    <x v="0"/>
  </r>
  <r>
    <x v="282"/>
    <x v="50"/>
    <x v="273"/>
    <x v="282"/>
    <x v="0"/>
    <m/>
    <m/>
    <m/>
    <m/>
    <m/>
    <x v="281"/>
    <n v="1.0897922890146601"/>
    <n v="0.24565350570465699"/>
    <x v="276"/>
    <x v="1"/>
    <m/>
    <m/>
    <x v="0"/>
    <x v="0"/>
    <x v="271"/>
    <x v="0"/>
    <x v="0"/>
    <x v="0"/>
    <x v="0"/>
    <x v="0"/>
  </r>
  <r>
    <x v="283"/>
    <x v="147"/>
    <x v="274"/>
    <x v="283"/>
    <x v="0"/>
    <m/>
    <m/>
    <m/>
    <m/>
    <m/>
    <x v="282"/>
    <n v="1.1449087848303099"/>
    <n v="0.25011158278656997"/>
    <x v="277"/>
    <x v="1"/>
    <m/>
    <m/>
    <x v="0"/>
    <x v="0"/>
    <x v="272"/>
    <x v="0"/>
    <x v="0"/>
    <x v="0"/>
    <x v="0"/>
    <x v="0"/>
  </r>
  <r>
    <x v="284"/>
    <x v="148"/>
    <x v="275"/>
    <x v="284"/>
    <x v="0"/>
    <m/>
    <m/>
    <m/>
    <m/>
    <m/>
    <x v="283"/>
    <n v="1.0098631398982301"/>
    <n v="0.25011158278656997"/>
    <x v="278"/>
    <x v="1"/>
    <m/>
    <m/>
    <x v="0"/>
    <x v="0"/>
    <x v="273"/>
    <x v="0"/>
    <x v="0"/>
    <x v="0"/>
    <x v="0"/>
    <x v="0"/>
  </r>
  <r>
    <x v="285"/>
    <x v="32"/>
    <x v="276"/>
    <x v="285"/>
    <x v="23"/>
    <n v="18"/>
    <m/>
    <m/>
    <m/>
    <m/>
    <x v="284"/>
    <n v="1.5816835910687701"/>
    <n v="0.26098599942946399"/>
    <x v="279"/>
    <x v="1"/>
    <m/>
    <m/>
    <x v="0"/>
    <x v="0"/>
    <x v="274"/>
    <x v="0"/>
    <x v="0"/>
    <x v="0"/>
    <x v="0"/>
    <x v="0"/>
  </r>
  <r>
    <x v="286"/>
    <x v="50"/>
    <x v="277"/>
    <x v="286"/>
    <x v="0"/>
    <m/>
    <m/>
    <m/>
    <m/>
    <m/>
    <x v="285"/>
    <n v="1.0799336316269501"/>
    <n v="0.26098599942946399"/>
    <x v="280"/>
    <x v="1"/>
    <m/>
    <m/>
    <x v="0"/>
    <x v="0"/>
    <x v="275"/>
    <x v="0"/>
    <x v="0"/>
    <x v="0"/>
    <x v="0"/>
    <x v="0"/>
  </r>
  <r>
    <x v="287"/>
    <x v="136"/>
    <x v="278"/>
    <x v="287"/>
    <x v="0"/>
    <m/>
    <m/>
    <m/>
    <m/>
    <m/>
    <x v="286"/>
    <n v="1.12365480770457"/>
    <n v="0.25011158278656997"/>
    <x v="281"/>
    <x v="1"/>
    <m/>
    <m/>
    <x v="0"/>
    <x v="0"/>
    <x v="276"/>
    <x v="0"/>
    <x v="0"/>
    <x v="0"/>
    <x v="0"/>
    <x v="0"/>
  </r>
  <r>
    <x v="288"/>
    <x v="12"/>
    <x v="279"/>
    <x v="288"/>
    <x v="76"/>
    <n v="16"/>
    <m/>
    <m/>
    <m/>
    <m/>
    <x v="287"/>
    <n v="1.5114284087658001"/>
    <n v="0.25011158278656997"/>
    <x v="282"/>
    <x v="1"/>
    <m/>
    <m/>
    <x v="0"/>
    <x v="0"/>
    <x v="277"/>
    <x v="0"/>
    <x v="0"/>
    <x v="0"/>
    <x v="0"/>
    <x v="0"/>
  </r>
  <r>
    <x v="289"/>
    <x v="10"/>
    <x v="280"/>
    <x v="289"/>
    <x v="83"/>
    <n v="13"/>
    <m/>
    <m/>
    <m/>
    <m/>
    <x v="288"/>
    <n v="1.83029157405792"/>
    <n v="0.25011158278656997"/>
    <x v="283"/>
    <x v="1"/>
    <m/>
    <m/>
    <x v="156"/>
    <x v="0"/>
    <x v="278"/>
    <x v="0"/>
    <x v="0"/>
    <x v="0"/>
    <x v="0"/>
    <x v="0"/>
  </r>
  <r>
    <x v="290"/>
    <x v="39"/>
    <x v="281"/>
    <x v="290"/>
    <x v="5"/>
    <n v="1"/>
    <m/>
    <m/>
    <m/>
    <m/>
    <x v="289"/>
    <n v="1.3021334161328699"/>
    <n v="0.326232478407951"/>
    <x v="284"/>
    <x v="1"/>
    <m/>
    <m/>
    <x v="0"/>
    <x v="0"/>
    <x v="279"/>
    <x v="0"/>
    <x v="0"/>
    <x v="0"/>
    <x v="0"/>
    <x v="0"/>
  </r>
  <r>
    <x v="291"/>
    <x v="63"/>
    <x v="282"/>
    <x v="291"/>
    <x v="67"/>
    <n v="62"/>
    <m/>
    <m/>
    <m/>
    <m/>
    <x v="290"/>
    <n v="1.5235479106823"/>
    <n v="0.26098599942946399"/>
    <x v="285"/>
    <x v="1"/>
    <m/>
    <m/>
    <x v="0"/>
    <x v="0"/>
    <x v="280"/>
    <x v="0"/>
    <x v="0"/>
    <x v="0"/>
    <x v="0"/>
    <x v="0"/>
  </r>
  <r>
    <x v="292"/>
    <x v="95"/>
    <x v="283"/>
    <x v="292"/>
    <x v="73"/>
    <n v="49"/>
    <m/>
    <m/>
    <m/>
    <m/>
    <x v="291"/>
    <n v="1.8691670970632801"/>
    <n v="0.26092254054535202"/>
    <x v="286"/>
    <x v="1"/>
    <m/>
    <m/>
    <x v="0"/>
    <x v="0"/>
    <x v="281"/>
    <x v="0"/>
    <x v="0"/>
    <x v="0"/>
    <x v="0"/>
    <x v="0"/>
  </r>
  <r>
    <x v="293"/>
    <x v="78"/>
    <x v="284"/>
    <x v="293"/>
    <x v="15"/>
    <n v="34"/>
    <m/>
    <m/>
    <m/>
    <m/>
    <x v="292"/>
    <n v="1.5357454797627099"/>
    <n v="0.24947105649420201"/>
    <x v="287"/>
    <x v="1"/>
    <m/>
    <m/>
    <x v="0"/>
    <x v="0"/>
    <x v="282"/>
    <x v="0"/>
    <x v="0"/>
    <x v="0"/>
    <x v="0"/>
    <x v="0"/>
  </r>
  <r>
    <x v="294"/>
    <x v="149"/>
    <x v="285"/>
    <x v="294"/>
    <x v="36"/>
    <n v="43"/>
    <m/>
    <m/>
    <m/>
    <m/>
    <x v="293"/>
    <n v="1.74876665369523"/>
    <n v="0.25011158278656997"/>
    <x v="288"/>
    <x v="1"/>
    <m/>
    <m/>
    <x v="157"/>
    <x v="0"/>
    <x v="283"/>
    <x v="0"/>
    <x v="0"/>
    <x v="0"/>
    <x v="0"/>
    <x v="0"/>
  </r>
  <r>
    <x v="295"/>
    <x v="150"/>
    <x v="286"/>
    <x v="295"/>
    <x v="89"/>
    <n v="85"/>
    <m/>
    <m/>
    <m/>
    <m/>
    <x v="294"/>
    <n v="1.60290847014866"/>
    <n v="0.25011158278656997"/>
    <x v="289"/>
    <x v="1"/>
    <m/>
    <m/>
    <x v="158"/>
    <x v="0"/>
    <x v="284"/>
    <x v="0"/>
    <x v="0"/>
    <x v="0"/>
    <x v="0"/>
    <x v="0"/>
  </r>
  <r>
    <x v="296"/>
    <x v="151"/>
    <x v="287"/>
    <x v="296"/>
    <x v="90"/>
    <n v="87"/>
    <m/>
    <m/>
    <m/>
    <m/>
    <x v="295"/>
    <n v="1.4196377041574999"/>
    <n v="0.25011158278656997"/>
    <x v="290"/>
    <x v="1"/>
    <m/>
    <m/>
    <x v="159"/>
    <x v="0"/>
    <x v="285"/>
    <x v="0"/>
    <x v="0"/>
    <x v="0"/>
    <x v="0"/>
    <x v="0"/>
  </r>
  <r>
    <x v="297"/>
    <x v="0"/>
    <x v="288"/>
    <x v="189"/>
    <x v="0"/>
    <m/>
    <m/>
    <m/>
    <m/>
    <m/>
    <x v="296"/>
    <n v="0.32623248906044"/>
    <n v="0.271860416072358"/>
    <x v="291"/>
    <x v="1"/>
    <m/>
    <m/>
    <x v="0"/>
    <x v="0"/>
    <x v="286"/>
    <x v="0"/>
    <x v="0"/>
    <x v="0"/>
    <x v="0"/>
    <x v="0"/>
  </r>
  <r>
    <x v="298"/>
    <x v="24"/>
    <x v="289"/>
    <x v="297"/>
    <x v="47"/>
    <n v="47"/>
    <m/>
    <m/>
    <m/>
    <m/>
    <x v="297"/>
    <n v="2.2882111694973801"/>
    <n v="0.29360924935814697"/>
    <x v="292"/>
    <x v="1"/>
    <m/>
    <m/>
    <x v="0"/>
    <x v="0"/>
    <x v="287"/>
    <x v="0"/>
    <x v="0"/>
    <x v="0"/>
    <x v="0"/>
    <x v="0"/>
  </r>
  <r>
    <x v="299"/>
    <x v="152"/>
    <x v="290"/>
    <x v="298"/>
    <x v="38"/>
    <n v="68"/>
    <m/>
    <m/>
    <m/>
    <m/>
    <x v="298"/>
    <n v="1.5115787732678201"/>
    <n v="0.23551511936420699"/>
    <x v="293"/>
    <x v="1"/>
    <m/>
    <m/>
    <x v="160"/>
    <x v="0"/>
    <x v="288"/>
    <x v="0"/>
    <x v="0"/>
    <x v="0"/>
    <x v="0"/>
    <x v="0"/>
  </r>
  <r>
    <x v="300"/>
    <x v="153"/>
    <x v="291"/>
    <x v="299"/>
    <x v="91"/>
    <n v="82"/>
    <m/>
    <m/>
    <m/>
    <m/>
    <x v="299"/>
    <n v="1.5678838352940501"/>
    <n v="0.25011158278656997"/>
    <x v="294"/>
    <x v="1"/>
    <m/>
    <m/>
    <x v="161"/>
    <x v="0"/>
    <x v="289"/>
    <x v="0"/>
    <x v="0"/>
    <x v="0"/>
    <x v="0"/>
    <x v="0"/>
  </r>
  <r>
    <x v="301"/>
    <x v="44"/>
    <x v="292"/>
    <x v="300"/>
    <x v="50"/>
    <n v="44"/>
    <m/>
    <m/>
    <m/>
    <m/>
    <x v="300"/>
    <n v="1.4367065498526901"/>
    <n v="0.26975183701688199"/>
    <x v="295"/>
    <x v="1"/>
    <m/>
    <m/>
    <x v="162"/>
    <x v="0"/>
    <x v="290"/>
    <x v="0"/>
    <x v="0"/>
    <x v="0"/>
    <x v="0"/>
    <x v="0"/>
  </r>
  <r>
    <x v="302"/>
    <x v="111"/>
    <x v="293"/>
    <x v="301"/>
    <x v="13"/>
    <n v="58"/>
    <m/>
    <m/>
    <m/>
    <m/>
    <x v="301"/>
    <n v="1.5704026830965501"/>
    <n v="0.25011158278656997"/>
    <x v="296"/>
    <x v="1"/>
    <m/>
    <m/>
    <x v="163"/>
    <x v="0"/>
    <x v="291"/>
    <x v="0"/>
    <x v="0"/>
    <x v="0"/>
    <x v="0"/>
    <x v="0"/>
  </r>
  <r>
    <x v="303"/>
    <x v="142"/>
    <x v="294"/>
    <x v="302"/>
    <x v="19"/>
    <n v="39"/>
    <m/>
    <m/>
    <m/>
    <m/>
    <x v="302"/>
    <n v="1.7454818308989"/>
    <n v="0.25011158278656997"/>
    <x v="297"/>
    <x v="1"/>
    <m/>
    <m/>
    <x v="164"/>
    <x v="0"/>
    <x v="292"/>
    <x v="0"/>
    <x v="0"/>
    <x v="0"/>
    <x v="0"/>
    <x v="0"/>
  </r>
  <r>
    <x v="304"/>
    <x v="154"/>
    <x v="295"/>
    <x v="303"/>
    <x v="16"/>
    <n v="20"/>
    <m/>
    <m/>
    <m/>
    <m/>
    <x v="303"/>
    <n v="1.7315446034719899"/>
    <n v="0.25011158278656997"/>
    <x v="298"/>
    <x v="1"/>
    <m/>
    <m/>
    <x v="0"/>
    <x v="0"/>
    <x v="293"/>
    <x v="0"/>
    <x v="0"/>
    <x v="0"/>
    <x v="0"/>
    <x v="0"/>
  </r>
  <r>
    <x v="305"/>
    <x v="43"/>
    <x v="296"/>
    <x v="304"/>
    <x v="45"/>
    <n v="21"/>
    <m/>
    <m/>
    <m/>
    <m/>
    <x v="304"/>
    <n v="1.3882491958029599"/>
    <n v="0.29360924935814697"/>
    <x v="299"/>
    <x v="1"/>
    <m/>
    <m/>
    <x v="165"/>
    <x v="0"/>
    <x v="294"/>
    <x v="0"/>
    <x v="0"/>
    <x v="0"/>
    <x v="0"/>
    <x v="0"/>
  </r>
  <r>
    <x v="306"/>
    <x v="155"/>
    <x v="297"/>
    <x v="305"/>
    <x v="92"/>
    <n v="89"/>
    <m/>
    <m/>
    <m/>
    <m/>
    <x v="305"/>
    <n v="1.4247688554521301"/>
    <n v="0.25640984563242197"/>
    <x v="300"/>
    <x v="1"/>
    <m/>
    <m/>
    <x v="166"/>
    <x v="0"/>
    <x v="295"/>
    <x v="0"/>
    <x v="0"/>
    <x v="0"/>
    <x v="0"/>
    <x v="0"/>
  </r>
  <r>
    <x v="307"/>
    <x v="96"/>
    <x v="298"/>
    <x v="306"/>
    <x v="23"/>
    <n v="18"/>
    <m/>
    <m/>
    <m/>
    <m/>
    <x v="306"/>
    <n v="1.5268284310986"/>
    <n v="0.28273483271525301"/>
    <x v="301"/>
    <x v="1"/>
    <m/>
    <m/>
    <x v="0"/>
    <x v="0"/>
    <x v="296"/>
    <x v="18"/>
    <x v="0"/>
    <x v="0"/>
    <x v="0"/>
    <x v="0"/>
  </r>
  <r>
    <x v="308"/>
    <x v="134"/>
    <x v="299"/>
    <x v="307"/>
    <x v="13"/>
    <n v="58"/>
    <m/>
    <m/>
    <m/>
    <m/>
    <x v="307"/>
    <n v="1.5851051519155099"/>
    <n v="0.27007720416099301"/>
    <x v="302"/>
    <x v="1"/>
    <m/>
    <m/>
    <x v="167"/>
    <x v="0"/>
    <x v="297"/>
    <x v="0"/>
    <x v="0"/>
    <x v="0"/>
    <x v="0"/>
    <x v="0"/>
  </r>
  <r>
    <x v="309"/>
    <x v="156"/>
    <x v="300"/>
    <x v="308"/>
    <x v="27"/>
    <n v="47"/>
    <m/>
    <m/>
    <m/>
    <m/>
    <x v="308"/>
    <n v="1.2514167553389799"/>
    <n v="0.25409148062502002"/>
    <x v="303"/>
    <x v="1"/>
    <m/>
    <m/>
    <x v="168"/>
    <x v="0"/>
    <x v="298"/>
    <x v="0"/>
    <x v="0"/>
    <x v="0"/>
    <x v="0"/>
    <x v="0"/>
  </r>
  <r>
    <x v="310"/>
    <x v="157"/>
    <x v="301"/>
    <x v="309"/>
    <x v="44"/>
    <n v="76"/>
    <m/>
    <m/>
    <m/>
    <m/>
    <x v="309"/>
    <n v="1.62143294034374"/>
    <n v="0.24929156752270701"/>
    <x v="304"/>
    <x v="1"/>
    <m/>
    <m/>
    <x v="169"/>
    <x v="0"/>
    <x v="299"/>
    <x v="0"/>
    <x v="0"/>
    <x v="0"/>
    <x v="0"/>
    <x v="0"/>
  </r>
  <r>
    <x v="311"/>
    <x v="101"/>
    <x v="302"/>
    <x v="310"/>
    <x v="93"/>
    <n v="51"/>
    <m/>
    <m/>
    <m/>
    <m/>
    <x v="310"/>
    <n v="1.4583891870703201"/>
    <n v="0.25215968208991901"/>
    <x v="305"/>
    <x v="1"/>
    <m/>
    <m/>
    <x v="170"/>
    <x v="0"/>
    <x v="300"/>
    <x v="0"/>
    <x v="0"/>
    <x v="0"/>
    <x v="0"/>
    <x v="0"/>
  </r>
  <r>
    <x v="312"/>
    <x v="158"/>
    <x v="303"/>
    <x v="311"/>
    <x v="94"/>
    <n v="55"/>
    <m/>
    <m/>
    <m/>
    <m/>
    <x v="311"/>
    <n v="1.5932730099336501"/>
    <n v="0.24508296567711399"/>
    <x v="306"/>
    <x v="1"/>
    <m/>
    <m/>
    <x v="171"/>
    <x v="0"/>
    <x v="301"/>
    <x v="0"/>
    <x v="0"/>
    <x v="0"/>
    <x v="0"/>
    <x v="0"/>
  </r>
  <r>
    <x v="313"/>
    <x v="100"/>
    <x v="304"/>
    <x v="312"/>
    <x v="69"/>
    <n v="24"/>
    <m/>
    <m/>
    <m/>
    <m/>
    <x v="312"/>
    <n v="1.4054326321530199"/>
    <n v="0.26098599942946399"/>
    <x v="307"/>
    <x v="1"/>
    <m/>
    <m/>
    <x v="172"/>
    <x v="0"/>
    <x v="302"/>
    <x v="0"/>
    <x v="0"/>
    <x v="0"/>
    <x v="0"/>
    <x v="0"/>
  </r>
  <r>
    <x v="314"/>
    <x v="159"/>
    <x v="305"/>
    <x v="313"/>
    <x v="44"/>
    <n v="76"/>
    <m/>
    <m/>
    <m/>
    <m/>
    <x v="313"/>
    <n v="1.49706922115376"/>
    <n v="0.248915701927058"/>
    <x v="308"/>
    <x v="1"/>
    <m/>
    <m/>
    <x v="173"/>
    <x v="0"/>
    <x v="303"/>
    <x v="19"/>
    <x v="0"/>
    <x v="0"/>
    <x v="0"/>
    <x v="0"/>
  </r>
  <r>
    <x v="315"/>
    <x v="14"/>
    <x v="306"/>
    <x v="314"/>
    <x v="31"/>
    <n v="2"/>
    <m/>
    <m/>
    <m/>
    <m/>
    <x v="314"/>
    <n v="1.2354227932670201"/>
    <n v="0.28273483271525301"/>
    <x v="309"/>
    <x v="1"/>
    <m/>
    <m/>
    <x v="0"/>
    <x v="0"/>
    <x v="304"/>
    <x v="0"/>
    <x v="0"/>
    <x v="0"/>
    <x v="0"/>
    <x v="0"/>
  </r>
  <r>
    <x v="316"/>
    <x v="160"/>
    <x v="307"/>
    <x v="315"/>
    <x v="4"/>
    <n v="71"/>
    <m/>
    <m/>
    <m/>
    <m/>
    <x v="315"/>
    <n v="1.47887554764331"/>
    <n v="0.25830786258570498"/>
    <x v="310"/>
    <x v="1"/>
    <m/>
    <m/>
    <x v="174"/>
    <x v="0"/>
    <x v="305"/>
    <x v="0"/>
    <x v="0"/>
    <x v="0"/>
    <x v="0"/>
    <x v="0"/>
  </r>
  <r>
    <x v="317"/>
    <x v="161"/>
    <x v="308"/>
    <x v="316"/>
    <x v="94"/>
    <n v="55"/>
    <m/>
    <m/>
    <m/>
    <m/>
    <x v="316"/>
    <n v="1.52634296365397"/>
    <n v="0.250010343545708"/>
    <x v="311"/>
    <x v="1"/>
    <m/>
    <m/>
    <x v="175"/>
    <x v="0"/>
    <x v="306"/>
    <x v="0"/>
    <x v="0"/>
    <x v="0"/>
    <x v="0"/>
    <x v="0"/>
  </r>
  <r>
    <x v="318"/>
    <x v="81"/>
    <x v="309"/>
    <x v="317"/>
    <x v="53"/>
    <n v="59"/>
    <m/>
    <m/>
    <m/>
    <m/>
    <x v="317"/>
    <n v="1.8553719630641199"/>
    <n v="0.26098599942946399"/>
    <x v="312"/>
    <x v="1"/>
    <m/>
    <m/>
    <x v="176"/>
    <x v="0"/>
    <x v="307"/>
    <x v="0"/>
    <x v="0"/>
    <x v="0"/>
    <x v="0"/>
    <x v="0"/>
  </r>
  <r>
    <x v="319"/>
    <x v="101"/>
    <x v="310"/>
    <x v="318"/>
    <x v="41"/>
    <n v="64"/>
    <m/>
    <m/>
    <m/>
    <m/>
    <x v="318"/>
    <n v="1.72224950580257"/>
    <n v="0.25011158278656997"/>
    <x v="313"/>
    <x v="1"/>
    <m/>
    <m/>
    <x v="177"/>
    <x v="0"/>
    <x v="308"/>
    <x v="0"/>
    <x v="0"/>
    <x v="0"/>
    <x v="0"/>
    <x v="0"/>
  </r>
  <r>
    <x v="320"/>
    <x v="111"/>
    <x v="311"/>
    <x v="319"/>
    <x v="37"/>
    <n v="57"/>
    <m/>
    <m/>
    <m/>
    <m/>
    <x v="319"/>
    <n v="2.2365855954874001"/>
    <n v="0.25011158278656997"/>
    <x v="314"/>
    <x v="1"/>
    <m/>
    <m/>
    <x v="178"/>
    <x v="0"/>
    <x v="309"/>
    <x v="20"/>
    <x v="0"/>
    <x v="0"/>
    <x v="0"/>
    <x v="0"/>
  </r>
  <r>
    <x v="321"/>
    <x v="20"/>
    <x v="312"/>
    <x v="320"/>
    <x v="11"/>
    <n v="41"/>
    <m/>
    <m/>
    <m/>
    <m/>
    <x v="320"/>
    <n v="1.47204461919483"/>
    <n v="0.26816314020702198"/>
    <x v="315"/>
    <x v="1"/>
    <m/>
    <m/>
    <x v="179"/>
    <x v="0"/>
    <x v="310"/>
    <x v="0"/>
    <x v="0"/>
    <x v="0"/>
    <x v="0"/>
    <x v="0"/>
  </r>
  <r>
    <x v="322"/>
    <x v="14"/>
    <x v="313"/>
    <x v="321"/>
    <x v="21"/>
    <n v="4"/>
    <m/>
    <m/>
    <m/>
    <m/>
    <x v="321"/>
    <n v="1.3886876057413799"/>
    <n v="0.29360924935814697"/>
    <x v="316"/>
    <x v="1"/>
    <m/>
    <m/>
    <x v="0"/>
    <x v="0"/>
    <x v="311"/>
    <x v="0"/>
    <x v="0"/>
    <x v="0"/>
    <x v="0"/>
    <x v="0"/>
  </r>
  <r>
    <x v="323"/>
    <x v="162"/>
    <x v="314"/>
    <x v="322"/>
    <x v="93"/>
    <n v="51"/>
    <m/>
    <m/>
    <m/>
    <m/>
    <x v="322"/>
    <n v="1.46885244837503"/>
    <n v="0.26291326063561998"/>
    <x v="317"/>
    <x v="1"/>
    <m/>
    <m/>
    <x v="180"/>
    <x v="0"/>
    <x v="312"/>
    <x v="0"/>
    <x v="0"/>
    <x v="0"/>
    <x v="0"/>
    <x v="0"/>
  </r>
  <r>
    <x v="324"/>
    <x v="63"/>
    <x v="315"/>
    <x v="323"/>
    <x v="37"/>
    <n v="57"/>
    <m/>
    <m/>
    <m/>
    <m/>
    <x v="323"/>
    <n v="1.8014786939286001"/>
    <n v="0.29360924935814697"/>
    <x v="318"/>
    <x v="1"/>
    <m/>
    <m/>
    <x v="181"/>
    <x v="0"/>
    <x v="313"/>
    <x v="0"/>
    <x v="0"/>
    <x v="0"/>
    <x v="0"/>
    <x v="0"/>
  </r>
  <r>
    <x v="325"/>
    <x v="40"/>
    <x v="316"/>
    <x v="324"/>
    <x v="35"/>
    <n v="40"/>
    <m/>
    <m/>
    <m/>
    <m/>
    <x v="324"/>
    <n v="1.41040210106929"/>
    <n v="0.25127376963627901"/>
    <x v="319"/>
    <x v="1"/>
    <m/>
    <m/>
    <x v="182"/>
    <x v="0"/>
    <x v="314"/>
    <x v="0"/>
    <x v="0"/>
    <x v="0"/>
    <x v="0"/>
    <x v="0"/>
  </r>
  <r>
    <x v="326"/>
    <x v="163"/>
    <x v="317"/>
    <x v="325"/>
    <x v="27"/>
    <n v="47"/>
    <m/>
    <m/>
    <m/>
    <m/>
    <x v="325"/>
    <n v="1.5204292174096199"/>
    <n v="0.26098599942946399"/>
    <x v="320"/>
    <x v="1"/>
    <m/>
    <m/>
    <x v="183"/>
    <x v="0"/>
    <x v="315"/>
    <x v="0"/>
    <x v="0"/>
    <x v="0"/>
    <x v="0"/>
    <x v="0"/>
  </r>
  <r>
    <x v="327"/>
    <x v="69"/>
    <x v="318"/>
    <x v="326"/>
    <x v="3"/>
    <n v="45"/>
    <m/>
    <m/>
    <m/>
    <m/>
    <x v="326"/>
    <n v="1.4905027039666301"/>
    <n v="0.25011158278656997"/>
    <x v="321"/>
    <x v="1"/>
    <m/>
    <m/>
    <x v="184"/>
    <x v="0"/>
    <x v="316"/>
    <x v="0"/>
    <x v="0"/>
    <x v="0"/>
    <x v="0"/>
    <x v="0"/>
  </r>
  <r>
    <x v="328"/>
    <x v="37"/>
    <x v="319"/>
    <x v="327"/>
    <x v="15"/>
    <n v="34"/>
    <m/>
    <m/>
    <m/>
    <m/>
    <x v="327"/>
    <n v="1.41174119657826"/>
    <n v="0.29360924935814697"/>
    <x v="322"/>
    <x v="1"/>
    <m/>
    <m/>
    <x v="185"/>
    <x v="0"/>
    <x v="317"/>
    <x v="0"/>
    <x v="0"/>
    <x v="0"/>
    <x v="0"/>
    <x v="0"/>
  </r>
  <r>
    <x v="329"/>
    <x v="85"/>
    <x v="320"/>
    <x v="328"/>
    <x v="16"/>
    <n v="20"/>
    <m/>
    <m/>
    <m/>
    <m/>
    <x v="328"/>
    <n v="1.9753696495434401"/>
    <n v="0.24890044502238801"/>
    <x v="323"/>
    <x v="1"/>
    <m/>
    <m/>
    <x v="186"/>
    <x v="0"/>
    <x v="318"/>
    <x v="0"/>
    <x v="0"/>
    <x v="0"/>
    <x v="0"/>
    <x v="0"/>
  </r>
  <r>
    <x v="330"/>
    <x v="164"/>
    <x v="321"/>
    <x v="329"/>
    <x v="8"/>
    <n v="56"/>
    <m/>
    <m/>
    <m/>
    <m/>
    <x v="329"/>
    <n v="1.58589023406421"/>
    <n v="0.271860416072358"/>
    <x v="324"/>
    <x v="1"/>
    <m/>
    <m/>
    <x v="187"/>
    <x v="0"/>
    <x v="319"/>
    <x v="0"/>
    <x v="0"/>
    <x v="0"/>
    <x v="0"/>
    <x v="0"/>
  </r>
  <r>
    <x v="331"/>
    <x v="110"/>
    <x v="322"/>
    <x v="330"/>
    <x v="95"/>
    <n v="115"/>
    <m/>
    <m/>
    <m/>
    <m/>
    <x v="330"/>
    <n v="1.5024010130444201"/>
    <n v="0.25011158278656997"/>
    <x v="325"/>
    <x v="1"/>
    <m/>
    <m/>
    <x v="188"/>
    <x v="0"/>
    <x v="320"/>
    <x v="0"/>
    <x v="0"/>
    <x v="0"/>
    <x v="0"/>
    <x v="0"/>
  </r>
  <r>
    <x v="332"/>
    <x v="122"/>
    <x v="323"/>
    <x v="331"/>
    <x v="3"/>
    <n v="45"/>
    <m/>
    <m/>
    <m/>
    <m/>
    <x v="331"/>
    <n v="1.39353205019382"/>
    <n v="0.28273483271525301"/>
    <x v="326"/>
    <x v="1"/>
    <m/>
    <m/>
    <x v="189"/>
    <x v="0"/>
    <x v="321"/>
    <x v="0"/>
    <x v="0"/>
    <x v="0"/>
    <x v="0"/>
    <x v="0"/>
  </r>
  <r>
    <x v="333"/>
    <x v="165"/>
    <x v="324"/>
    <x v="332"/>
    <x v="32"/>
    <n v="64"/>
    <m/>
    <m/>
    <m/>
    <m/>
    <x v="332"/>
    <n v="2.0593529445756902"/>
    <n v="0.26098599942946399"/>
    <x v="327"/>
    <x v="1"/>
    <m/>
    <m/>
    <x v="190"/>
    <x v="0"/>
    <x v="322"/>
    <x v="21"/>
    <x v="0"/>
    <x v="0"/>
    <x v="0"/>
    <x v="0"/>
  </r>
  <r>
    <x v="334"/>
    <x v="143"/>
    <x v="325"/>
    <x v="333"/>
    <x v="2"/>
    <n v="35"/>
    <m/>
    <m/>
    <m/>
    <m/>
    <x v="333"/>
    <n v="1.5008823392408199"/>
    <n v="0.25774089969328201"/>
    <x v="328"/>
    <x v="1"/>
    <m/>
    <m/>
    <x v="191"/>
    <x v="0"/>
    <x v="323"/>
    <x v="0"/>
    <x v="0"/>
    <x v="0"/>
    <x v="0"/>
    <x v="0"/>
  </r>
  <r>
    <x v="335"/>
    <x v="95"/>
    <x v="326"/>
    <x v="334"/>
    <x v="78"/>
    <n v="60"/>
    <m/>
    <m/>
    <m/>
    <m/>
    <x v="334"/>
    <n v="1.54034039638356"/>
    <n v="0.24568079035104801"/>
    <x v="329"/>
    <x v="1"/>
    <m/>
    <m/>
    <x v="192"/>
    <x v="0"/>
    <x v="324"/>
    <x v="0"/>
    <x v="0"/>
    <x v="0"/>
    <x v="0"/>
    <x v="0"/>
  </r>
  <r>
    <x v="336"/>
    <x v="166"/>
    <x v="327"/>
    <x v="335"/>
    <x v="96"/>
    <n v="125"/>
    <m/>
    <m/>
    <m/>
    <m/>
    <x v="335"/>
    <n v="2.3929193883724298"/>
    <n v="0.25011158278656997"/>
    <x v="330"/>
    <x v="1"/>
    <m/>
    <m/>
    <x v="193"/>
    <x v="0"/>
    <x v="325"/>
    <x v="0"/>
    <x v="0"/>
    <x v="0"/>
    <x v="0"/>
    <x v="0"/>
  </r>
  <r>
    <x v="337"/>
    <x v="87"/>
    <x v="328"/>
    <x v="336"/>
    <x v="14"/>
    <n v="50"/>
    <m/>
    <m/>
    <m/>
    <m/>
    <x v="336"/>
    <n v="1.6442827027740801"/>
    <n v="0.25011158278656997"/>
    <x v="331"/>
    <x v="1"/>
    <m/>
    <m/>
    <x v="194"/>
    <x v="0"/>
    <x v="326"/>
    <x v="0"/>
    <x v="0"/>
    <x v="0"/>
    <x v="0"/>
    <x v="0"/>
  </r>
  <r>
    <x v="338"/>
    <x v="156"/>
    <x v="329"/>
    <x v="337"/>
    <x v="97"/>
    <n v="70"/>
    <m/>
    <m/>
    <m/>
    <m/>
    <x v="337"/>
    <n v="1.4219186786058999"/>
    <n v="0.28273483271525301"/>
    <x v="332"/>
    <x v="1"/>
    <m/>
    <m/>
    <x v="195"/>
    <x v="0"/>
    <x v="327"/>
    <x v="0"/>
    <x v="0"/>
    <x v="0"/>
    <x v="0"/>
    <x v="0"/>
  </r>
  <r>
    <x v="339"/>
    <x v="85"/>
    <x v="330"/>
    <x v="338"/>
    <x v="36"/>
    <n v="43"/>
    <m/>
    <m/>
    <m/>
    <m/>
    <x v="338"/>
    <n v="1.40300013950673"/>
    <n v="0.26098599942946399"/>
    <x v="333"/>
    <x v="1"/>
    <m/>
    <m/>
    <x v="196"/>
    <x v="0"/>
    <x v="328"/>
    <x v="0"/>
    <x v="0"/>
    <x v="0"/>
    <x v="0"/>
    <x v="0"/>
  </r>
  <r>
    <x v="340"/>
    <x v="167"/>
    <x v="331"/>
    <x v="339"/>
    <x v="73"/>
    <n v="49"/>
    <m/>
    <m/>
    <m/>
    <m/>
    <x v="339"/>
    <n v="1.4686215132757801"/>
    <n v="0.271860416072358"/>
    <x v="334"/>
    <x v="1"/>
    <m/>
    <m/>
    <x v="197"/>
    <x v="0"/>
    <x v="329"/>
    <x v="0"/>
    <x v="0"/>
    <x v="0"/>
    <x v="0"/>
    <x v="0"/>
  </r>
  <r>
    <x v="341"/>
    <x v="122"/>
    <x v="332"/>
    <x v="340"/>
    <x v="36"/>
    <n v="42"/>
    <m/>
    <m/>
    <m/>
    <m/>
    <x v="340"/>
    <n v="2.1369305747652798"/>
    <n v="0.26098599942946399"/>
    <x v="335"/>
    <x v="1"/>
    <m/>
    <m/>
    <x v="198"/>
    <x v="0"/>
    <x v="330"/>
    <x v="0"/>
    <x v="0"/>
    <x v="0"/>
    <x v="0"/>
    <x v="0"/>
  </r>
  <r>
    <x v="342"/>
    <x v="32"/>
    <x v="333"/>
    <x v="341"/>
    <x v="43"/>
    <n v="31"/>
    <m/>
    <m/>
    <m/>
    <m/>
    <x v="341"/>
    <n v="1.51096523515064"/>
    <n v="0.271860416072358"/>
    <x v="336"/>
    <x v="1"/>
    <m/>
    <m/>
    <x v="199"/>
    <x v="0"/>
    <x v="331"/>
    <x v="0"/>
    <x v="0"/>
    <x v="0"/>
    <x v="0"/>
    <x v="0"/>
  </r>
  <r>
    <x v="343"/>
    <x v="145"/>
    <x v="334"/>
    <x v="342"/>
    <x v="36"/>
    <n v="23"/>
    <m/>
    <m/>
    <m/>
    <m/>
    <x v="342"/>
    <n v="2.24045482257783"/>
    <n v="0.32623246588062499"/>
    <x v="337"/>
    <x v="1"/>
    <m/>
    <m/>
    <x v="0"/>
    <x v="0"/>
    <x v="332"/>
    <x v="0"/>
    <x v="0"/>
    <x v="0"/>
    <x v="0"/>
    <x v="0"/>
  </r>
  <r>
    <x v="344"/>
    <x v="106"/>
    <x v="335"/>
    <x v="343"/>
    <x v="44"/>
    <n v="76"/>
    <m/>
    <m/>
    <m/>
    <m/>
    <x v="343"/>
    <n v="1.56810995621226"/>
    <n v="0.25011158278656997"/>
    <x v="338"/>
    <x v="1"/>
    <m/>
    <m/>
    <x v="200"/>
    <x v="0"/>
    <x v="333"/>
    <x v="0"/>
    <x v="0"/>
    <x v="0"/>
    <x v="0"/>
    <x v="0"/>
  </r>
  <r>
    <x v="345"/>
    <x v="53"/>
    <x v="336"/>
    <x v="344"/>
    <x v="22"/>
    <n v="52"/>
    <m/>
    <m/>
    <m/>
    <m/>
    <x v="344"/>
    <n v="1.68910701064932"/>
    <n v="0.26644254178187099"/>
    <x v="339"/>
    <x v="1"/>
    <m/>
    <m/>
    <x v="201"/>
    <x v="0"/>
    <x v="334"/>
    <x v="0"/>
    <x v="0"/>
    <x v="0"/>
    <x v="0"/>
    <x v="0"/>
  </r>
  <r>
    <x v="346"/>
    <x v="151"/>
    <x v="337"/>
    <x v="345"/>
    <x v="44"/>
    <n v="76"/>
    <m/>
    <m/>
    <m/>
    <m/>
    <x v="345"/>
    <n v="1.4474076221828001"/>
    <n v="0.248945400943203"/>
    <x v="340"/>
    <x v="1"/>
    <m/>
    <m/>
    <x v="202"/>
    <x v="0"/>
    <x v="335"/>
    <x v="0"/>
    <x v="0"/>
    <x v="0"/>
    <x v="0"/>
    <x v="0"/>
  </r>
  <r>
    <x v="347"/>
    <x v="57"/>
    <x v="338"/>
    <x v="346"/>
    <x v="22"/>
    <n v="52"/>
    <m/>
    <m/>
    <m/>
    <m/>
    <x v="346"/>
    <n v="1.4685142520265699"/>
    <n v="0.29360924935814697"/>
    <x v="341"/>
    <x v="1"/>
    <m/>
    <m/>
    <x v="203"/>
    <x v="0"/>
    <x v="336"/>
    <x v="22"/>
    <x v="0"/>
    <x v="0"/>
    <x v="0"/>
    <x v="0"/>
  </r>
  <r>
    <x v="348"/>
    <x v="168"/>
    <x v="339"/>
    <x v="347"/>
    <x v="84"/>
    <n v="108"/>
    <m/>
    <m/>
    <m/>
    <m/>
    <x v="347"/>
    <n v="1.6139267977765299"/>
    <n v="0.26098599942946399"/>
    <x v="342"/>
    <x v="1"/>
    <m/>
    <m/>
    <x v="204"/>
    <x v="0"/>
    <x v="337"/>
    <x v="0"/>
    <x v="0"/>
    <x v="0"/>
    <x v="0"/>
    <x v="0"/>
  </r>
  <r>
    <x v="349"/>
    <x v="65"/>
    <x v="340"/>
    <x v="348"/>
    <x v="34"/>
    <n v="29"/>
    <m/>
    <m/>
    <m/>
    <m/>
    <x v="348"/>
    <n v="1.98142114770433"/>
    <n v="0.26098599942946399"/>
    <x v="343"/>
    <x v="1"/>
    <m/>
    <m/>
    <x v="0"/>
    <x v="0"/>
    <x v="338"/>
    <x v="0"/>
    <x v="0"/>
    <x v="0"/>
    <x v="0"/>
    <x v="0"/>
  </r>
  <r>
    <x v="350"/>
    <x v="90"/>
    <x v="341"/>
    <x v="349"/>
    <x v="87"/>
    <n v="15"/>
    <m/>
    <m/>
    <m/>
    <m/>
    <x v="349"/>
    <n v="1.4371170374878099"/>
    <n v="0.25027974897550198"/>
    <x v="344"/>
    <x v="1"/>
    <m/>
    <m/>
    <x v="0"/>
    <x v="0"/>
    <x v="339"/>
    <x v="0"/>
    <x v="0"/>
    <x v="0"/>
    <x v="0"/>
    <x v="0"/>
  </r>
  <r>
    <x v="351"/>
    <x v="1"/>
    <x v="342"/>
    <x v="350"/>
    <x v="27"/>
    <n v="47"/>
    <m/>
    <m/>
    <m/>
    <m/>
    <x v="350"/>
    <n v="1.4524496325570999"/>
    <n v="0.27046872975237901"/>
    <x v="345"/>
    <x v="1"/>
    <m/>
    <m/>
    <x v="205"/>
    <x v="0"/>
    <x v="340"/>
    <x v="0"/>
    <x v="0"/>
    <x v="0"/>
    <x v="0"/>
    <x v="0"/>
  </r>
  <r>
    <x v="352"/>
    <x v="9"/>
    <x v="56"/>
    <x v="351"/>
    <x v="0"/>
    <m/>
    <m/>
    <m/>
    <m/>
    <m/>
    <x v="351"/>
    <n v="0.51178569431929999"/>
    <n v="0.326232478407951"/>
    <x v="346"/>
    <x v="1"/>
    <m/>
    <m/>
    <x v="0"/>
    <x v="0"/>
    <x v="0"/>
    <x v="0"/>
    <x v="0"/>
    <x v="0"/>
    <x v="0"/>
    <x v="0"/>
  </r>
  <r>
    <x v="353"/>
    <x v="10"/>
    <x v="343"/>
    <x v="352"/>
    <x v="73"/>
    <n v="37"/>
    <m/>
    <m/>
    <m/>
    <m/>
    <x v="352"/>
    <n v="2.40104801735778"/>
    <n v="0.26098599942946399"/>
    <x v="347"/>
    <x v="1"/>
    <m/>
    <m/>
    <x v="0"/>
    <x v="0"/>
    <x v="341"/>
    <x v="0"/>
    <x v="0"/>
    <x v="0"/>
    <x v="0"/>
    <x v="0"/>
  </r>
  <r>
    <x v="354"/>
    <x v="169"/>
    <x v="344"/>
    <x v="353"/>
    <x v="21"/>
    <n v="4"/>
    <m/>
    <m/>
    <m/>
    <m/>
    <x v="353"/>
    <n v="1.31214496319411"/>
    <n v="0.28637039113317803"/>
    <x v="348"/>
    <x v="1"/>
    <m/>
    <m/>
    <x v="0"/>
    <x v="0"/>
    <x v="342"/>
    <x v="0"/>
    <x v="0"/>
    <x v="0"/>
    <x v="0"/>
    <x v="0"/>
  </r>
  <r>
    <x v="355"/>
    <x v="99"/>
    <x v="345"/>
    <x v="354"/>
    <x v="57"/>
    <n v="61"/>
    <m/>
    <m/>
    <m/>
    <m/>
    <x v="354"/>
    <n v="2.1419470798304499"/>
    <n v="0.25011158278656997"/>
    <x v="349"/>
    <x v="1"/>
    <m/>
    <m/>
    <x v="206"/>
    <x v="0"/>
    <x v="343"/>
    <x v="0"/>
    <x v="0"/>
    <x v="0"/>
    <x v="0"/>
    <x v="0"/>
  </r>
  <r>
    <x v="356"/>
    <x v="18"/>
    <x v="346"/>
    <x v="355"/>
    <x v="42"/>
    <n v="22"/>
    <m/>
    <m/>
    <m/>
    <m/>
    <x v="355"/>
    <n v="2.2675273316476301"/>
    <n v="0.26098599942946399"/>
    <x v="350"/>
    <x v="1"/>
    <m/>
    <m/>
    <x v="207"/>
    <x v="0"/>
    <x v="344"/>
    <x v="0"/>
    <x v="0"/>
    <x v="0"/>
    <x v="0"/>
    <x v="0"/>
  </r>
  <r>
    <x v="357"/>
    <x v="170"/>
    <x v="347"/>
    <x v="356"/>
    <x v="74"/>
    <n v="79"/>
    <m/>
    <m/>
    <m/>
    <m/>
    <x v="356"/>
    <n v="1.5204929377049901"/>
    <n v="0.25211268883793198"/>
    <x v="351"/>
    <x v="1"/>
    <m/>
    <m/>
    <x v="208"/>
    <x v="0"/>
    <x v="345"/>
    <x v="0"/>
    <x v="0"/>
    <x v="0"/>
    <x v="0"/>
    <x v="0"/>
  </r>
  <r>
    <x v="358"/>
    <x v="72"/>
    <x v="348"/>
    <x v="357"/>
    <x v="15"/>
    <n v="34"/>
    <m/>
    <m/>
    <m/>
    <m/>
    <x v="357"/>
    <n v="1.7117313545084201"/>
    <n v="0.25011158278656997"/>
    <x v="352"/>
    <x v="1"/>
    <m/>
    <m/>
    <x v="209"/>
    <x v="0"/>
    <x v="346"/>
    <x v="0"/>
    <x v="0"/>
    <x v="0"/>
    <x v="0"/>
    <x v="0"/>
  </r>
  <r>
    <x v="359"/>
    <x v="162"/>
    <x v="349"/>
    <x v="358"/>
    <x v="35"/>
    <n v="40"/>
    <m/>
    <m/>
    <m/>
    <m/>
    <x v="358"/>
    <n v="1.6140016846448899"/>
    <n v="0.26098599942946399"/>
    <x v="353"/>
    <x v="1"/>
    <m/>
    <m/>
    <x v="210"/>
    <x v="0"/>
    <x v="347"/>
    <x v="0"/>
    <x v="0"/>
    <x v="0"/>
    <x v="0"/>
    <x v="0"/>
  </r>
  <r>
    <x v="360"/>
    <x v="155"/>
    <x v="350"/>
    <x v="359"/>
    <x v="22"/>
    <n v="43"/>
    <m/>
    <m/>
    <m/>
    <m/>
    <x v="359"/>
    <n v="2.60267299414557"/>
    <n v="0.25011158278656997"/>
    <x v="354"/>
    <x v="1"/>
    <m/>
    <m/>
    <x v="211"/>
    <x v="0"/>
    <x v="348"/>
    <x v="23"/>
    <x v="0"/>
    <x v="0"/>
    <x v="0"/>
    <x v="0"/>
  </r>
  <r>
    <x v="361"/>
    <x v="171"/>
    <x v="351"/>
    <x v="360"/>
    <x v="98"/>
    <n v="121"/>
    <m/>
    <m/>
    <m/>
    <m/>
    <x v="360"/>
    <n v="1.6965031792751299"/>
    <n v="0.25011158278656997"/>
    <x v="355"/>
    <x v="1"/>
    <m/>
    <m/>
    <x v="212"/>
    <x v="0"/>
    <x v="349"/>
    <x v="0"/>
    <x v="0"/>
    <x v="0"/>
    <x v="0"/>
    <x v="0"/>
  </r>
  <r>
    <x v="362"/>
    <x v="3"/>
    <x v="352"/>
    <x v="361"/>
    <x v="43"/>
    <n v="31"/>
    <m/>
    <m/>
    <m/>
    <m/>
    <x v="361"/>
    <n v="1.433427702166"/>
    <n v="0.271860416072358"/>
    <x v="356"/>
    <x v="1"/>
    <m/>
    <m/>
    <x v="213"/>
    <x v="0"/>
    <x v="350"/>
    <x v="0"/>
    <x v="0"/>
    <x v="0"/>
    <x v="0"/>
    <x v="0"/>
  </r>
  <r>
    <x v="363"/>
    <x v="134"/>
    <x v="353"/>
    <x v="362"/>
    <x v="99"/>
    <n v="66"/>
    <m/>
    <m/>
    <m/>
    <m/>
    <x v="362"/>
    <n v="2.4038001198344601"/>
    <n v="0.271860416072358"/>
    <x v="357"/>
    <x v="1"/>
    <m/>
    <m/>
    <x v="214"/>
    <x v="0"/>
    <x v="351"/>
    <x v="0"/>
    <x v="0"/>
    <x v="0"/>
    <x v="0"/>
    <x v="0"/>
  </r>
  <r>
    <x v="364"/>
    <x v="51"/>
    <x v="354"/>
    <x v="363"/>
    <x v="11"/>
    <n v="41"/>
    <m/>
    <m/>
    <m/>
    <m/>
    <x v="363"/>
    <n v="1.38162943098649"/>
    <n v="0.25011158278656997"/>
    <x v="358"/>
    <x v="1"/>
    <m/>
    <m/>
    <x v="215"/>
    <x v="0"/>
    <x v="352"/>
    <x v="0"/>
    <x v="0"/>
    <x v="0"/>
    <x v="0"/>
    <x v="0"/>
  </r>
  <r>
    <x v="365"/>
    <x v="97"/>
    <x v="355"/>
    <x v="364"/>
    <x v="83"/>
    <n v="13"/>
    <m/>
    <m/>
    <m/>
    <m/>
    <x v="364"/>
    <n v="1.45154221135251"/>
    <n v="0.29360924935814697"/>
    <x v="359"/>
    <x v="1"/>
    <m/>
    <m/>
    <x v="216"/>
    <x v="0"/>
    <x v="353"/>
    <x v="0"/>
    <x v="0"/>
    <x v="0"/>
    <x v="0"/>
    <x v="0"/>
  </r>
  <r>
    <x v="366"/>
    <x v="172"/>
    <x v="356"/>
    <x v="365"/>
    <x v="50"/>
    <n v="44"/>
    <m/>
    <m/>
    <m/>
    <m/>
    <x v="365"/>
    <n v="1.52061347653124"/>
    <n v="0.25011158278656997"/>
    <x v="360"/>
    <x v="1"/>
    <m/>
    <m/>
    <x v="217"/>
    <x v="0"/>
    <x v="354"/>
    <x v="0"/>
    <x v="0"/>
    <x v="0"/>
    <x v="0"/>
    <x v="0"/>
  </r>
  <r>
    <x v="367"/>
    <x v="65"/>
    <x v="357"/>
    <x v="366"/>
    <x v="42"/>
    <n v="22"/>
    <m/>
    <m/>
    <m/>
    <m/>
    <x v="366"/>
    <n v="1.6063684700916301"/>
    <n v="0.26098599942946399"/>
    <x v="361"/>
    <x v="1"/>
    <m/>
    <m/>
    <x v="218"/>
    <x v="0"/>
    <x v="355"/>
    <x v="0"/>
    <x v="0"/>
    <x v="0"/>
    <x v="0"/>
    <x v="0"/>
  </r>
  <r>
    <x v="368"/>
    <x v="39"/>
    <x v="358"/>
    <x v="367"/>
    <x v="0"/>
    <m/>
    <m/>
    <m/>
    <m/>
    <m/>
    <x v="367"/>
    <n v="1.2503024574335999"/>
    <n v="0.24879421099895299"/>
    <x v="362"/>
    <x v="1"/>
    <m/>
    <m/>
    <x v="0"/>
    <x v="0"/>
    <x v="356"/>
    <x v="0"/>
    <x v="0"/>
    <x v="0"/>
    <x v="0"/>
    <x v="0"/>
  </r>
  <r>
    <x v="369"/>
    <x v="173"/>
    <x v="359"/>
    <x v="368"/>
    <x v="66"/>
    <n v="68"/>
    <m/>
    <m/>
    <m/>
    <m/>
    <x v="368"/>
    <n v="2.4241999260608802"/>
    <n v="0.26098599942946399"/>
    <x v="363"/>
    <x v="1"/>
    <m/>
    <m/>
    <x v="219"/>
    <x v="0"/>
    <x v="357"/>
    <x v="0"/>
    <x v="0"/>
    <x v="0"/>
    <x v="0"/>
    <x v="0"/>
  </r>
  <r>
    <x v="370"/>
    <x v="16"/>
    <x v="360"/>
    <x v="369"/>
    <x v="20"/>
    <n v="33"/>
    <m/>
    <m/>
    <m/>
    <m/>
    <x v="369"/>
    <n v="1.6389984634824899"/>
    <n v="0.25011158278656997"/>
    <x v="364"/>
    <x v="1"/>
    <m/>
    <m/>
    <x v="220"/>
    <x v="0"/>
    <x v="358"/>
    <x v="24"/>
    <x v="0"/>
    <x v="0"/>
    <x v="0"/>
    <x v="0"/>
  </r>
  <r>
    <x v="371"/>
    <x v="5"/>
    <x v="361"/>
    <x v="370"/>
    <x v="46"/>
    <n v="3"/>
    <m/>
    <m/>
    <m/>
    <m/>
    <x v="370"/>
    <n v="1.5537676317932001"/>
    <n v="0.28273483271525301"/>
    <x v="365"/>
    <x v="1"/>
    <m/>
    <m/>
    <x v="0"/>
    <x v="0"/>
    <x v="359"/>
    <x v="0"/>
    <x v="0"/>
    <x v="0"/>
    <x v="0"/>
    <x v="0"/>
  </r>
  <r>
    <x v="372"/>
    <x v="174"/>
    <x v="362"/>
    <x v="371"/>
    <x v="47"/>
    <n v="73"/>
    <m/>
    <m/>
    <m/>
    <m/>
    <x v="371"/>
    <n v="1.6130178035060001"/>
    <n v="0.26635536297512902"/>
    <x v="366"/>
    <x v="1"/>
    <m/>
    <m/>
    <x v="221"/>
    <x v="0"/>
    <x v="360"/>
    <x v="0"/>
    <x v="0"/>
    <x v="0"/>
    <x v="0"/>
    <x v="0"/>
  </r>
  <r>
    <x v="373"/>
    <x v="1"/>
    <x v="363"/>
    <x v="372"/>
    <x v="59"/>
    <n v="48"/>
    <m/>
    <m/>
    <m/>
    <m/>
    <x v="372"/>
    <n v="1.4556607737874701"/>
    <n v="0.25011158278656997"/>
    <x v="367"/>
    <x v="1"/>
    <m/>
    <m/>
    <x v="222"/>
    <x v="0"/>
    <x v="361"/>
    <x v="0"/>
    <x v="0"/>
    <x v="0"/>
    <x v="0"/>
    <x v="0"/>
  </r>
  <r>
    <x v="374"/>
    <x v="107"/>
    <x v="364"/>
    <x v="373"/>
    <x v="35"/>
    <n v="40"/>
    <m/>
    <m/>
    <m/>
    <m/>
    <x v="373"/>
    <n v="2.10830079365949"/>
    <n v="0.25011158278656997"/>
    <x v="368"/>
    <x v="1"/>
    <m/>
    <m/>
    <x v="223"/>
    <x v="0"/>
    <x v="362"/>
    <x v="0"/>
    <x v="0"/>
    <x v="0"/>
    <x v="0"/>
    <x v="0"/>
  </r>
  <r>
    <x v="375"/>
    <x v="107"/>
    <x v="365"/>
    <x v="374"/>
    <x v="11"/>
    <n v="41"/>
    <m/>
    <m/>
    <m/>
    <m/>
    <x v="374"/>
    <n v="1.7500700887988001"/>
    <n v="0.25011158278656997"/>
    <x v="369"/>
    <x v="1"/>
    <m/>
    <m/>
    <x v="224"/>
    <x v="0"/>
    <x v="363"/>
    <x v="0"/>
    <x v="0"/>
    <x v="0"/>
    <x v="0"/>
    <x v="0"/>
  </r>
  <r>
    <x v="376"/>
    <x v="82"/>
    <x v="366"/>
    <x v="375"/>
    <x v="13"/>
    <n v="58"/>
    <m/>
    <m/>
    <m/>
    <m/>
    <x v="375"/>
    <n v="1.52093083418982"/>
    <n v="0.25011158278656997"/>
    <x v="370"/>
    <x v="1"/>
    <m/>
    <m/>
    <x v="225"/>
    <x v="0"/>
    <x v="364"/>
    <x v="0"/>
    <x v="0"/>
    <x v="0"/>
    <x v="0"/>
    <x v="0"/>
  </r>
  <r>
    <x v="377"/>
    <x v="94"/>
    <x v="367"/>
    <x v="376"/>
    <x v="87"/>
    <n v="15"/>
    <m/>
    <m/>
    <m/>
    <m/>
    <x v="376"/>
    <n v="1.6300180957858701"/>
    <n v="0.26098599942946399"/>
    <x v="371"/>
    <x v="1"/>
    <m/>
    <m/>
    <x v="226"/>
    <x v="0"/>
    <x v="365"/>
    <x v="0"/>
    <x v="0"/>
    <x v="0"/>
    <x v="0"/>
    <x v="0"/>
  </r>
  <r>
    <x v="378"/>
    <x v="43"/>
    <x v="368"/>
    <x v="377"/>
    <x v="16"/>
    <n v="20"/>
    <m/>
    <m/>
    <m/>
    <m/>
    <x v="377"/>
    <n v="1.4050260926279099"/>
    <n v="0.271860416072358"/>
    <x v="372"/>
    <x v="1"/>
    <m/>
    <m/>
    <x v="0"/>
    <x v="0"/>
    <x v="366"/>
    <x v="0"/>
    <x v="0"/>
    <x v="0"/>
    <x v="0"/>
    <x v="0"/>
  </r>
  <r>
    <x v="379"/>
    <x v="79"/>
    <x v="369"/>
    <x v="378"/>
    <x v="56"/>
    <n v="54"/>
    <m/>
    <m/>
    <m/>
    <m/>
    <x v="378"/>
    <n v="1.4486839064291199"/>
    <n v="0.266680311008892"/>
    <x v="373"/>
    <x v="1"/>
    <m/>
    <m/>
    <x v="227"/>
    <x v="0"/>
    <x v="367"/>
    <x v="0"/>
    <x v="0"/>
    <x v="0"/>
    <x v="0"/>
    <x v="0"/>
  </r>
  <r>
    <x v="380"/>
    <x v="45"/>
    <x v="370"/>
    <x v="379"/>
    <x v="0"/>
    <m/>
    <m/>
    <m/>
    <m/>
    <m/>
    <x v="379"/>
    <n v="0.45889356756075"/>
    <n v="0.26098599942946399"/>
    <x v="374"/>
    <x v="1"/>
    <m/>
    <m/>
    <x v="0"/>
    <x v="0"/>
    <x v="368"/>
    <x v="0"/>
    <x v="0"/>
    <x v="0"/>
    <x v="0"/>
    <x v="0"/>
  </r>
  <r>
    <x v="381"/>
    <x v="146"/>
    <x v="371"/>
    <x v="380"/>
    <x v="22"/>
    <n v="32"/>
    <m/>
    <m/>
    <m/>
    <m/>
    <x v="380"/>
    <n v="2.3367783416637899"/>
    <n v="0.28273483271525301"/>
    <x v="375"/>
    <x v="1"/>
    <m/>
    <m/>
    <x v="0"/>
    <x v="0"/>
    <x v="369"/>
    <x v="0"/>
    <x v="0"/>
    <x v="0"/>
    <x v="0"/>
    <x v="0"/>
  </r>
  <r>
    <x v="382"/>
    <x v="175"/>
    <x v="372"/>
    <x v="381"/>
    <x v="76"/>
    <n v="16"/>
    <m/>
    <m/>
    <m/>
    <m/>
    <x v="381"/>
    <n v="1.7522174968192501"/>
    <n v="0.25193109135531699"/>
    <x v="376"/>
    <x v="1"/>
    <m/>
    <m/>
    <x v="0"/>
    <x v="0"/>
    <x v="370"/>
    <x v="0"/>
    <x v="0"/>
    <x v="0"/>
    <x v="0"/>
    <x v="0"/>
  </r>
  <r>
    <x v="383"/>
    <x v="172"/>
    <x v="373"/>
    <x v="382"/>
    <x v="20"/>
    <n v="19"/>
    <m/>
    <m/>
    <m/>
    <m/>
    <x v="382"/>
    <n v="2.2717521137529002"/>
    <n v="0.271860416072358"/>
    <x v="377"/>
    <x v="1"/>
    <m/>
    <m/>
    <x v="0"/>
    <x v="0"/>
    <x v="371"/>
    <x v="25"/>
    <x v="0"/>
    <x v="0"/>
    <x v="0"/>
    <x v="0"/>
  </r>
  <r>
    <x v="384"/>
    <x v="148"/>
    <x v="374"/>
    <x v="383"/>
    <x v="88"/>
    <n v="12"/>
    <m/>
    <m/>
    <m/>
    <m/>
    <x v="383"/>
    <n v="1.0007415577738299"/>
    <n v="0.30448366600104099"/>
    <x v="378"/>
    <x v="1"/>
    <m/>
    <m/>
    <x v="228"/>
    <x v="0"/>
    <x v="372"/>
    <x v="0"/>
    <x v="0"/>
    <x v="0"/>
    <x v="0"/>
    <x v="0"/>
  </r>
  <r>
    <x v="385"/>
    <x v="33"/>
    <x v="375"/>
    <x v="384"/>
    <x v="69"/>
    <n v="23"/>
    <m/>
    <m/>
    <m/>
    <m/>
    <x v="384"/>
    <n v="1.9648941795383901"/>
    <n v="0.26098599942946399"/>
    <x v="379"/>
    <x v="1"/>
    <m/>
    <m/>
    <x v="0"/>
    <x v="0"/>
    <x v="373"/>
    <x v="0"/>
    <x v="0"/>
    <x v="0"/>
    <x v="0"/>
    <x v="0"/>
  </r>
  <r>
    <x v="386"/>
    <x v="157"/>
    <x v="376"/>
    <x v="385"/>
    <x v="55"/>
    <n v="73"/>
    <m/>
    <m/>
    <m/>
    <m/>
    <x v="385"/>
    <n v="2.2362404864025298"/>
    <n v="0.26098599942946399"/>
    <x v="380"/>
    <x v="1"/>
    <m/>
    <m/>
    <x v="229"/>
    <x v="0"/>
    <x v="374"/>
    <x v="0"/>
    <x v="0"/>
    <x v="0"/>
    <x v="0"/>
    <x v="0"/>
  </r>
  <r>
    <x v="387"/>
    <x v="115"/>
    <x v="377"/>
    <x v="386"/>
    <x v="100"/>
    <n v="126"/>
    <m/>
    <m/>
    <m/>
    <m/>
    <x v="386"/>
    <n v="2.3191369763992502"/>
    <n v="0.26098599942946399"/>
    <x v="381"/>
    <x v="1"/>
    <m/>
    <m/>
    <x v="230"/>
    <x v="0"/>
    <x v="375"/>
    <x v="0"/>
    <x v="0"/>
    <x v="0"/>
    <x v="0"/>
    <x v="0"/>
  </r>
  <r>
    <x v="388"/>
    <x v="100"/>
    <x v="378"/>
    <x v="387"/>
    <x v="39"/>
    <n v="26"/>
    <m/>
    <m/>
    <m/>
    <m/>
    <x v="387"/>
    <n v="1.5265427962423399"/>
    <n v="0.24901800068987201"/>
    <x v="382"/>
    <x v="1"/>
    <m/>
    <m/>
    <x v="231"/>
    <x v="0"/>
    <x v="376"/>
    <x v="0"/>
    <x v="0"/>
    <x v="0"/>
    <x v="0"/>
    <x v="0"/>
  </r>
  <r>
    <x v="389"/>
    <x v="176"/>
    <x v="379"/>
    <x v="388"/>
    <x v="50"/>
    <n v="44"/>
    <m/>
    <m/>
    <m/>
    <m/>
    <x v="388"/>
    <n v="1.6391023917099099"/>
    <n v="0.24922366156928699"/>
    <x v="383"/>
    <x v="1"/>
    <m/>
    <m/>
    <x v="232"/>
    <x v="0"/>
    <x v="377"/>
    <x v="0"/>
    <x v="0"/>
    <x v="0"/>
    <x v="0"/>
    <x v="0"/>
  </r>
  <r>
    <x v="390"/>
    <x v="15"/>
    <x v="380"/>
    <x v="389"/>
    <x v="101"/>
    <n v="90"/>
    <m/>
    <m/>
    <m/>
    <m/>
    <x v="389"/>
    <n v="1.54444422501103"/>
    <n v="0.32276915198286599"/>
    <x v="384"/>
    <x v="1"/>
    <m/>
    <m/>
    <x v="233"/>
    <x v="0"/>
    <x v="378"/>
    <x v="0"/>
    <x v="0"/>
    <x v="0"/>
    <x v="0"/>
    <x v="0"/>
  </r>
  <r>
    <x v="391"/>
    <x v="177"/>
    <x v="381"/>
    <x v="390"/>
    <x v="102"/>
    <n v="97"/>
    <m/>
    <m/>
    <m/>
    <m/>
    <x v="390"/>
    <n v="1.48043396159192"/>
    <n v="0.25011158278656997"/>
    <x v="385"/>
    <x v="1"/>
    <m/>
    <m/>
    <x v="234"/>
    <x v="0"/>
    <x v="379"/>
    <x v="0"/>
    <x v="0"/>
    <x v="0"/>
    <x v="0"/>
    <x v="0"/>
  </r>
  <r>
    <x v="392"/>
    <x v="133"/>
    <x v="382"/>
    <x v="391"/>
    <x v="29"/>
    <n v="17"/>
    <m/>
    <m/>
    <m/>
    <m/>
    <x v="391"/>
    <n v="1.41289550939104"/>
    <n v="0.25011158278656997"/>
    <x v="386"/>
    <x v="1"/>
    <m/>
    <m/>
    <x v="0"/>
    <x v="0"/>
    <x v="380"/>
    <x v="0"/>
    <x v="0"/>
    <x v="0"/>
    <x v="0"/>
    <x v="0"/>
  </r>
  <r>
    <x v="393"/>
    <x v="88"/>
    <x v="383"/>
    <x v="392"/>
    <x v="20"/>
    <n v="33"/>
    <m/>
    <m/>
    <m/>
    <m/>
    <x v="392"/>
    <n v="1.4141465007979599"/>
    <n v="0.32623246588062499"/>
    <x v="387"/>
    <x v="1"/>
    <m/>
    <m/>
    <x v="235"/>
    <x v="0"/>
    <x v="381"/>
    <x v="0"/>
    <x v="0"/>
    <x v="0"/>
    <x v="0"/>
    <x v="0"/>
  </r>
  <r>
    <x v="394"/>
    <x v="135"/>
    <x v="384"/>
    <x v="393"/>
    <x v="46"/>
    <n v="3"/>
    <m/>
    <m/>
    <m/>
    <m/>
    <x v="393"/>
    <n v="1.60953366923026"/>
    <n v="0.259732113793886"/>
    <x v="388"/>
    <x v="1"/>
    <m/>
    <m/>
    <x v="0"/>
    <x v="0"/>
    <x v="382"/>
    <x v="0"/>
    <x v="0"/>
    <x v="0"/>
    <x v="0"/>
    <x v="0"/>
  </r>
  <r>
    <x v="395"/>
    <x v="40"/>
    <x v="385"/>
    <x v="394"/>
    <x v="22"/>
    <n v="52"/>
    <m/>
    <m/>
    <m/>
    <m/>
    <x v="394"/>
    <n v="1.5871554708396101"/>
    <n v="0.27844637446555998"/>
    <x v="389"/>
    <x v="1"/>
    <m/>
    <m/>
    <x v="236"/>
    <x v="0"/>
    <x v="383"/>
    <x v="0"/>
    <x v="0"/>
    <x v="0"/>
    <x v="0"/>
    <x v="0"/>
  </r>
  <r>
    <x v="396"/>
    <x v="172"/>
    <x v="386"/>
    <x v="395"/>
    <x v="57"/>
    <n v="65"/>
    <m/>
    <m/>
    <m/>
    <m/>
    <x v="395"/>
    <n v="1.7614451609670301"/>
    <n v="0.24849895593641"/>
    <x v="390"/>
    <x v="1"/>
    <m/>
    <m/>
    <x v="237"/>
    <x v="0"/>
    <x v="384"/>
    <x v="0"/>
    <x v="0"/>
    <x v="0"/>
    <x v="0"/>
    <x v="0"/>
  </r>
  <r>
    <x v="397"/>
    <x v="9"/>
    <x v="73"/>
    <x v="396"/>
    <x v="0"/>
    <m/>
    <m/>
    <m/>
    <m/>
    <m/>
    <x v="396"/>
    <n v="0.62609840985356402"/>
    <n v="0.28273483271525301"/>
    <x v="391"/>
    <x v="1"/>
    <m/>
    <m/>
    <x v="0"/>
    <x v="0"/>
    <x v="0"/>
    <x v="0"/>
    <x v="0"/>
    <x v="0"/>
    <x v="0"/>
    <x v="0"/>
  </r>
  <r>
    <x v="398"/>
    <x v="89"/>
    <x v="387"/>
    <x v="397"/>
    <x v="18"/>
    <n v="42"/>
    <m/>
    <m/>
    <m/>
    <m/>
    <x v="397"/>
    <n v="1.4693784981005"/>
    <n v="0.24669015625516999"/>
    <x v="392"/>
    <x v="1"/>
    <m/>
    <m/>
    <x v="238"/>
    <x v="0"/>
    <x v="385"/>
    <x v="0"/>
    <x v="0"/>
    <x v="0"/>
    <x v="0"/>
    <x v="0"/>
  </r>
  <r>
    <x v="399"/>
    <x v="58"/>
    <x v="388"/>
    <x v="398"/>
    <x v="21"/>
    <n v="4"/>
    <m/>
    <m/>
    <m/>
    <m/>
    <x v="398"/>
    <n v="1.35593334441568"/>
    <n v="0.26098599942946399"/>
    <x v="393"/>
    <x v="1"/>
    <m/>
    <m/>
    <x v="0"/>
    <x v="0"/>
    <x v="386"/>
    <x v="0"/>
    <x v="0"/>
    <x v="0"/>
    <x v="0"/>
    <x v="0"/>
  </r>
  <r>
    <x v="400"/>
    <x v="24"/>
    <x v="389"/>
    <x v="399"/>
    <x v="29"/>
    <n v="17"/>
    <m/>
    <m/>
    <m/>
    <m/>
    <x v="399"/>
    <n v="1.4099101256872999"/>
    <n v="0.28273483271525301"/>
    <x v="394"/>
    <x v="1"/>
    <m/>
    <m/>
    <x v="239"/>
    <x v="0"/>
    <x v="387"/>
    <x v="0"/>
    <x v="0"/>
    <x v="0"/>
    <x v="0"/>
    <x v="0"/>
  </r>
  <r>
    <x v="401"/>
    <x v="17"/>
    <x v="390"/>
    <x v="400"/>
    <x v="61"/>
    <n v="30"/>
    <m/>
    <m/>
    <m/>
    <m/>
    <x v="400"/>
    <n v="1.6543376799926499"/>
    <n v="0.271860416072358"/>
    <x v="395"/>
    <x v="1"/>
    <m/>
    <m/>
    <x v="240"/>
    <x v="0"/>
    <x v="388"/>
    <x v="0"/>
    <x v="0"/>
    <x v="0"/>
    <x v="0"/>
    <x v="0"/>
  </r>
  <r>
    <x v="402"/>
    <x v="15"/>
    <x v="391"/>
    <x v="401"/>
    <x v="10"/>
    <n v="80"/>
    <m/>
    <m/>
    <m/>
    <m/>
    <x v="401"/>
    <n v="1.5044248783582801"/>
    <n v="0.25011158278656997"/>
    <x v="396"/>
    <x v="1"/>
    <m/>
    <m/>
    <x v="241"/>
    <x v="0"/>
    <x v="389"/>
    <x v="26"/>
    <x v="0"/>
    <x v="0"/>
    <x v="0"/>
    <x v="0"/>
  </r>
  <r>
    <x v="403"/>
    <x v="109"/>
    <x v="392"/>
    <x v="402"/>
    <x v="35"/>
    <n v="40"/>
    <m/>
    <m/>
    <m/>
    <m/>
    <x v="402"/>
    <n v="1.6013431509903799"/>
    <n v="0.24839536162935999"/>
    <x v="397"/>
    <x v="1"/>
    <m/>
    <m/>
    <x v="242"/>
    <x v="0"/>
    <x v="390"/>
    <x v="0"/>
    <x v="0"/>
    <x v="0"/>
    <x v="0"/>
    <x v="0"/>
  </r>
  <r>
    <x v="404"/>
    <x v="42"/>
    <x v="393"/>
    <x v="403"/>
    <x v="70"/>
    <n v="19"/>
    <m/>
    <m/>
    <m/>
    <m/>
    <x v="403"/>
    <n v="1.5749600381637501"/>
    <n v="0.25011158278656997"/>
    <x v="398"/>
    <x v="1"/>
    <m/>
    <m/>
    <x v="243"/>
    <x v="0"/>
    <x v="391"/>
    <x v="0"/>
    <x v="0"/>
    <x v="0"/>
    <x v="0"/>
    <x v="0"/>
  </r>
  <r>
    <x v="405"/>
    <x v="152"/>
    <x v="394"/>
    <x v="404"/>
    <x v="93"/>
    <n v="51"/>
    <m/>
    <m/>
    <m/>
    <m/>
    <x v="404"/>
    <n v="1.4564448351905901"/>
    <n v="0.25011158278656997"/>
    <x v="399"/>
    <x v="1"/>
    <m/>
    <m/>
    <x v="244"/>
    <x v="0"/>
    <x v="392"/>
    <x v="0"/>
    <x v="0"/>
    <x v="0"/>
    <x v="0"/>
    <x v="0"/>
  </r>
  <r>
    <x v="406"/>
    <x v="60"/>
    <x v="395"/>
    <x v="405"/>
    <x v="0"/>
    <m/>
    <m/>
    <m/>
    <m/>
    <m/>
    <x v="405"/>
    <n v="0.32623247820524398"/>
    <n v="0.271860416072358"/>
    <x v="400"/>
    <x v="1"/>
    <m/>
    <m/>
    <x v="0"/>
    <x v="0"/>
    <x v="393"/>
    <x v="0"/>
    <x v="0"/>
    <x v="0"/>
    <x v="0"/>
    <x v="0"/>
  </r>
  <r>
    <x v="407"/>
    <x v="119"/>
    <x v="396"/>
    <x v="406"/>
    <x v="47"/>
    <n v="73"/>
    <m/>
    <m/>
    <m/>
    <m/>
    <x v="406"/>
    <n v="1.5952984733133599"/>
    <n v="0.26080687619758303"/>
    <x v="401"/>
    <x v="1"/>
    <m/>
    <m/>
    <x v="245"/>
    <x v="0"/>
    <x v="394"/>
    <x v="0"/>
    <x v="0"/>
    <x v="0"/>
    <x v="0"/>
    <x v="0"/>
  </r>
  <r>
    <x v="408"/>
    <x v="20"/>
    <x v="397"/>
    <x v="407"/>
    <x v="35"/>
    <n v="40"/>
    <m/>
    <m/>
    <m/>
    <m/>
    <x v="407"/>
    <n v="1.48027628922677"/>
    <n v="0.25011158278656997"/>
    <x v="402"/>
    <x v="1"/>
    <m/>
    <m/>
    <x v="246"/>
    <x v="0"/>
    <x v="395"/>
    <x v="0"/>
    <x v="0"/>
    <x v="0"/>
    <x v="0"/>
    <x v="0"/>
  </r>
  <r>
    <x v="409"/>
    <x v="10"/>
    <x v="398"/>
    <x v="408"/>
    <x v="36"/>
    <n v="43"/>
    <m/>
    <m/>
    <m/>
    <m/>
    <x v="408"/>
    <n v="1.46072981306682"/>
    <n v="0.25785084706258898"/>
    <x v="403"/>
    <x v="1"/>
    <m/>
    <m/>
    <x v="247"/>
    <x v="0"/>
    <x v="396"/>
    <x v="0"/>
    <x v="0"/>
    <x v="0"/>
    <x v="0"/>
    <x v="0"/>
  </r>
  <r>
    <x v="410"/>
    <x v="119"/>
    <x v="399"/>
    <x v="409"/>
    <x v="8"/>
    <n v="56"/>
    <m/>
    <m/>
    <m/>
    <m/>
    <x v="409"/>
    <n v="1.6757260385457999"/>
    <n v="0.25011158278656997"/>
    <x v="404"/>
    <x v="1"/>
    <m/>
    <m/>
    <x v="248"/>
    <x v="0"/>
    <x v="397"/>
    <x v="0"/>
    <x v="0"/>
    <x v="0"/>
    <x v="0"/>
    <x v="0"/>
  </r>
  <r>
    <x v="411"/>
    <x v="125"/>
    <x v="400"/>
    <x v="410"/>
    <x v="0"/>
    <m/>
    <m/>
    <m/>
    <m/>
    <m/>
    <x v="410"/>
    <n v="2.4069255840248802"/>
    <n v="0.28273483271525301"/>
    <x v="405"/>
    <x v="1"/>
    <m/>
    <m/>
    <x v="0"/>
    <x v="0"/>
    <x v="398"/>
    <x v="0"/>
    <x v="0"/>
    <x v="0"/>
    <x v="0"/>
    <x v="0"/>
  </r>
  <r>
    <x v="412"/>
    <x v="125"/>
    <x v="401"/>
    <x v="411"/>
    <x v="0"/>
    <m/>
    <m/>
    <m/>
    <m/>
    <m/>
    <x v="411"/>
    <n v="1.2536596219252101"/>
    <n v="0.26098599942946399"/>
    <x v="406"/>
    <x v="1"/>
    <m/>
    <m/>
    <x v="0"/>
    <x v="0"/>
    <x v="399"/>
    <x v="0"/>
    <x v="0"/>
    <x v="0"/>
    <x v="0"/>
    <x v="0"/>
  </r>
  <r>
    <x v="413"/>
    <x v="3"/>
    <x v="402"/>
    <x v="412"/>
    <x v="70"/>
    <n v="16"/>
    <m/>
    <m/>
    <m/>
    <m/>
    <x v="412"/>
    <n v="1.9161390904147"/>
    <n v="0.26769719397249703"/>
    <x v="407"/>
    <x v="1"/>
    <m/>
    <m/>
    <x v="249"/>
    <x v="0"/>
    <x v="400"/>
    <x v="0"/>
    <x v="0"/>
    <x v="0"/>
    <x v="0"/>
    <x v="0"/>
  </r>
  <r>
    <x v="414"/>
    <x v="61"/>
    <x v="73"/>
    <x v="413"/>
    <x v="5"/>
    <n v="1"/>
    <m/>
    <m/>
    <m/>
    <m/>
    <x v="413"/>
    <n v="1.7670722233251599"/>
    <n v="0.32623246768636599"/>
    <x v="408"/>
    <x v="1"/>
    <m/>
    <m/>
    <x v="0"/>
    <x v="0"/>
    <x v="0"/>
    <x v="0"/>
    <x v="0"/>
    <x v="0"/>
    <x v="0"/>
    <x v="0"/>
  </r>
  <r>
    <x v="415"/>
    <x v="94"/>
    <x v="403"/>
    <x v="414"/>
    <x v="36"/>
    <n v="43"/>
    <m/>
    <m/>
    <m/>
    <m/>
    <x v="414"/>
    <n v="1.8815726315480299"/>
    <n v="0.309976508282367"/>
    <x v="409"/>
    <x v="1"/>
    <m/>
    <m/>
    <x v="250"/>
    <x v="0"/>
    <x v="401"/>
    <x v="0"/>
    <x v="0"/>
    <x v="0"/>
    <x v="0"/>
    <x v="0"/>
  </r>
  <r>
    <x v="416"/>
    <x v="123"/>
    <x v="404"/>
    <x v="415"/>
    <x v="72"/>
    <n v="67"/>
    <m/>
    <m/>
    <m/>
    <m/>
    <x v="415"/>
    <n v="1.51956648883774"/>
    <n v="0.25011158278656997"/>
    <x v="410"/>
    <x v="1"/>
    <m/>
    <m/>
    <x v="251"/>
    <x v="0"/>
    <x v="402"/>
    <x v="0"/>
    <x v="0"/>
    <x v="0"/>
    <x v="0"/>
    <x v="0"/>
  </r>
  <r>
    <x v="417"/>
    <x v="20"/>
    <x v="405"/>
    <x v="416"/>
    <x v="12"/>
    <n v="36"/>
    <m/>
    <m/>
    <m/>
    <m/>
    <x v="416"/>
    <n v="1.6409204340400001"/>
    <n v="0.25011158278656997"/>
    <x v="411"/>
    <x v="1"/>
    <m/>
    <m/>
    <x v="252"/>
    <x v="0"/>
    <x v="403"/>
    <x v="0"/>
    <x v="0"/>
    <x v="0"/>
    <x v="0"/>
    <x v="0"/>
  </r>
  <r>
    <x v="418"/>
    <x v="45"/>
    <x v="73"/>
    <x v="417"/>
    <x v="0"/>
    <m/>
    <m/>
    <m/>
    <m/>
    <m/>
    <x v="417"/>
    <n v="0.28273483271525301"/>
    <n v="0.271860416072358"/>
    <x v="412"/>
    <x v="1"/>
    <m/>
    <m/>
    <x v="0"/>
    <x v="0"/>
    <x v="0"/>
    <x v="0"/>
    <x v="0"/>
    <x v="0"/>
    <x v="0"/>
    <x v="0"/>
  </r>
  <r>
    <x v="419"/>
    <x v="56"/>
    <x v="406"/>
    <x v="418"/>
    <x v="24"/>
    <n v="25"/>
    <m/>
    <m/>
    <m/>
    <m/>
    <x v="418"/>
    <n v="1.4569064998612999"/>
    <n v="0.271860416072358"/>
    <x v="413"/>
    <x v="1"/>
    <m/>
    <m/>
    <x v="253"/>
    <x v="0"/>
    <x v="404"/>
    <x v="27"/>
    <x v="0"/>
    <x v="0"/>
    <x v="0"/>
    <x v="0"/>
  </r>
  <r>
    <x v="420"/>
    <x v="38"/>
    <x v="407"/>
    <x v="419"/>
    <x v="0"/>
    <m/>
    <m/>
    <m/>
    <m/>
    <m/>
    <x v="419"/>
    <n v="1.4938536204131201"/>
    <n v="0.25011158278656997"/>
    <x v="414"/>
    <x v="1"/>
    <m/>
    <m/>
    <x v="0"/>
    <x v="0"/>
    <x v="405"/>
    <x v="0"/>
    <x v="0"/>
    <x v="0"/>
    <x v="0"/>
    <x v="0"/>
  </r>
  <r>
    <x v="421"/>
    <x v="0"/>
    <x v="73"/>
    <x v="420"/>
    <x v="0"/>
    <m/>
    <m/>
    <m/>
    <m/>
    <m/>
    <x v="420"/>
    <n v="0.61098355769825297"/>
    <n v="0.26098599942946399"/>
    <x v="415"/>
    <x v="1"/>
    <m/>
    <m/>
    <x v="0"/>
    <x v="0"/>
    <x v="0"/>
    <x v="0"/>
    <x v="0"/>
    <x v="0"/>
    <x v="0"/>
    <x v="0"/>
  </r>
  <r>
    <x v="422"/>
    <x v="161"/>
    <x v="408"/>
    <x v="421"/>
    <x v="57"/>
    <n v="66"/>
    <m/>
    <m/>
    <m/>
    <m/>
    <x v="421"/>
    <n v="1.68064968323436"/>
    <n v="0.25011158278656997"/>
    <x v="416"/>
    <x v="1"/>
    <m/>
    <m/>
    <x v="254"/>
    <x v="0"/>
    <x v="406"/>
    <x v="0"/>
    <x v="0"/>
    <x v="0"/>
    <x v="0"/>
    <x v="0"/>
  </r>
  <r>
    <x v="423"/>
    <x v="144"/>
    <x v="409"/>
    <x v="422"/>
    <x v="30"/>
    <n v="6"/>
    <m/>
    <m/>
    <m/>
    <m/>
    <x v="422"/>
    <n v="1.3792942989835899"/>
    <n v="0.25011158278656997"/>
    <x v="417"/>
    <x v="1"/>
    <m/>
    <m/>
    <x v="0"/>
    <x v="0"/>
    <x v="407"/>
    <x v="0"/>
    <x v="0"/>
    <x v="0"/>
    <x v="0"/>
    <x v="0"/>
  </r>
  <r>
    <x v="424"/>
    <x v="88"/>
    <x v="410"/>
    <x v="423"/>
    <x v="36"/>
    <n v="43"/>
    <m/>
    <m/>
    <m/>
    <m/>
    <x v="423"/>
    <n v="1.4893494715473801"/>
    <n v="0.29360924935814697"/>
    <x v="418"/>
    <x v="1"/>
    <m/>
    <m/>
    <x v="255"/>
    <x v="0"/>
    <x v="408"/>
    <x v="0"/>
    <x v="0"/>
    <x v="0"/>
    <x v="0"/>
    <x v="0"/>
  </r>
  <r>
    <x v="425"/>
    <x v="138"/>
    <x v="411"/>
    <x v="424"/>
    <x v="57"/>
    <n v="66"/>
    <m/>
    <m/>
    <m/>
    <m/>
    <x v="424"/>
    <n v="1.6016058609411801"/>
    <n v="0.25011158278656997"/>
    <x v="419"/>
    <x v="1"/>
    <m/>
    <m/>
    <x v="256"/>
    <x v="0"/>
    <x v="409"/>
    <x v="0"/>
    <x v="0"/>
    <x v="0"/>
    <x v="0"/>
    <x v="0"/>
  </r>
  <r>
    <x v="426"/>
    <x v="178"/>
    <x v="412"/>
    <x v="425"/>
    <x v="81"/>
    <n v="11"/>
    <m/>
    <m/>
    <m/>
    <m/>
    <x v="425"/>
    <n v="1.2857067624151799"/>
    <n v="0.28273483271525301"/>
    <x v="420"/>
    <x v="1"/>
    <m/>
    <m/>
    <x v="257"/>
    <x v="0"/>
    <x v="410"/>
    <x v="0"/>
    <x v="0"/>
    <x v="0"/>
    <x v="0"/>
    <x v="0"/>
  </r>
  <r>
    <x v="427"/>
    <x v="39"/>
    <x v="413"/>
    <x v="426"/>
    <x v="81"/>
    <n v="11"/>
    <m/>
    <m/>
    <m/>
    <m/>
    <x v="426"/>
    <n v="0.71176731905044199"/>
    <n v="0.271860416072358"/>
    <x v="421"/>
    <x v="1"/>
    <m/>
    <m/>
    <x v="258"/>
    <x v="0"/>
    <x v="411"/>
    <x v="0"/>
    <x v="0"/>
    <x v="0"/>
    <x v="0"/>
    <x v="0"/>
  </r>
  <r>
    <x v="428"/>
    <x v="57"/>
    <x v="414"/>
    <x v="427"/>
    <x v="13"/>
    <n v="58"/>
    <m/>
    <m/>
    <m/>
    <m/>
    <x v="427"/>
    <n v="1.4496700153534201"/>
    <n v="0.25825845138221398"/>
    <x v="422"/>
    <x v="1"/>
    <m/>
    <m/>
    <x v="259"/>
    <x v="0"/>
    <x v="412"/>
    <x v="0"/>
    <x v="0"/>
    <x v="0"/>
    <x v="0"/>
    <x v="0"/>
  </r>
  <r>
    <x v="429"/>
    <x v="21"/>
    <x v="415"/>
    <x v="428"/>
    <x v="61"/>
    <n v="30"/>
    <m/>
    <m/>
    <m/>
    <m/>
    <x v="428"/>
    <n v="1.6064227464221801"/>
    <n v="0.26527337000784901"/>
    <x v="423"/>
    <x v="1"/>
    <m/>
    <m/>
    <x v="260"/>
    <x v="0"/>
    <x v="413"/>
    <x v="0"/>
    <x v="0"/>
    <x v="0"/>
    <x v="0"/>
    <x v="0"/>
  </r>
  <r>
    <x v="430"/>
    <x v="179"/>
    <x v="416"/>
    <x v="429"/>
    <x v="31"/>
    <n v="2"/>
    <m/>
    <m/>
    <m/>
    <m/>
    <x v="429"/>
    <n v="1.5270409288789399"/>
    <n v="0.271860416072358"/>
    <x v="70"/>
    <x v="1"/>
    <m/>
    <m/>
    <x v="0"/>
    <x v="0"/>
    <x v="414"/>
    <x v="0"/>
    <x v="0"/>
    <x v="0"/>
    <x v="0"/>
    <x v="0"/>
  </r>
  <r>
    <x v="431"/>
    <x v="120"/>
    <x v="417"/>
    <x v="430"/>
    <x v="87"/>
    <n v="15"/>
    <m/>
    <m/>
    <m/>
    <m/>
    <x v="430"/>
    <n v="1.52528071534987"/>
    <n v="0.26098599942946399"/>
    <x v="195"/>
    <x v="1"/>
    <m/>
    <m/>
    <x v="0"/>
    <x v="0"/>
    <x v="415"/>
    <x v="0"/>
    <x v="0"/>
    <x v="0"/>
    <x v="0"/>
    <x v="0"/>
  </r>
  <r>
    <x v="432"/>
    <x v="124"/>
    <x v="418"/>
    <x v="431"/>
    <x v="0"/>
    <m/>
    <m/>
    <m/>
    <m/>
    <m/>
    <x v="431"/>
    <n v="1.4672278785992301"/>
    <n v="0.24925460325688101"/>
    <x v="424"/>
    <x v="1"/>
    <m/>
    <m/>
    <x v="0"/>
    <x v="0"/>
    <x v="416"/>
    <x v="0"/>
    <x v="0"/>
    <x v="0"/>
    <x v="0"/>
    <x v="0"/>
  </r>
  <r>
    <x v="433"/>
    <x v="11"/>
    <x v="419"/>
    <x v="432"/>
    <x v="30"/>
    <n v="6"/>
    <m/>
    <m/>
    <m/>
    <m/>
    <x v="432"/>
    <n v="1.3989016681158799"/>
    <n v="0.25011158278656997"/>
    <x v="425"/>
    <x v="1"/>
    <m/>
    <m/>
    <x v="0"/>
    <x v="0"/>
    <x v="417"/>
    <x v="0"/>
    <x v="0"/>
    <x v="0"/>
    <x v="0"/>
    <x v="0"/>
  </r>
  <r>
    <x v="434"/>
    <x v="144"/>
    <x v="420"/>
    <x v="433"/>
    <x v="21"/>
    <n v="4"/>
    <m/>
    <m/>
    <m/>
    <m/>
    <x v="433"/>
    <n v="1.5345464493699199"/>
    <n v="0.27002813772912299"/>
    <x v="426"/>
    <x v="1"/>
    <m/>
    <m/>
    <x v="0"/>
    <x v="0"/>
    <x v="418"/>
    <x v="0"/>
    <x v="0"/>
    <x v="0"/>
    <x v="0"/>
    <x v="0"/>
  </r>
  <r>
    <x v="435"/>
    <x v="49"/>
    <x v="421"/>
    <x v="434"/>
    <x v="5"/>
    <n v="1"/>
    <m/>
    <m/>
    <m/>
    <m/>
    <x v="434"/>
    <n v="1.20635644862779"/>
    <n v="0.26098599942946399"/>
    <x v="427"/>
    <x v="1"/>
    <m/>
    <m/>
    <x v="0"/>
    <x v="0"/>
    <x v="419"/>
    <x v="0"/>
    <x v="0"/>
    <x v="0"/>
    <x v="0"/>
    <x v="0"/>
  </r>
  <r>
    <x v="436"/>
    <x v="55"/>
    <x v="422"/>
    <x v="435"/>
    <x v="0"/>
    <m/>
    <m/>
    <m/>
    <m/>
    <m/>
    <x v="435"/>
    <n v="1.7515224965320499"/>
    <n v="0.25011158278656997"/>
    <x v="428"/>
    <x v="1"/>
    <m/>
    <m/>
    <x v="0"/>
    <x v="0"/>
    <x v="420"/>
    <x v="0"/>
    <x v="0"/>
    <x v="0"/>
    <x v="0"/>
    <x v="0"/>
  </r>
  <r>
    <x v="437"/>
    <x v="180"/>
    <x v="423"/>
    <x v="436"/>
    <x v="97"/>
    <n v="70"/>
    <m/>
    <m/>
    <m/>
    <m/>
    <x v="436"/>
    <n v="1.53504436097522"/>
    <n v="0.24968050002049899"/>
    <x v="429"/>
    <x v="1"/>
    <m/>
    <m/>
    <x v="0"/>
    <x v="0"/>
    <x v="421"/>
    <x v="0"/>
    <x v="0"/>
    <x v="0"/>
    <x v="0"/>
    <x v="0"/>
  </r>
  <r>
    <x v="438"/>
    <x v="139"/>
    <x v="424"/>
    <x v="437"/>
    <x v="0"/>
    <m/>
    <m/>
    <m/>
    <m/>
    <m/>
    <x v="437"/>
    <n v="1.5124282812540499"/>
    <n v="0.28273483271525301"/>
    <x v="430"/>
    <x v="1"/>
    <m/>
    <m/>
    <x v="0"/>
    <x v="0"/>
    <x v="422"/>
    <x v="28"/>
    <x v="0"/>
    <x v="0"/>
    <x v="0"/>
    <x v="0"/>
  </r>
  <r>
    <x v="439"/>
    <x v="124"/>
    <x v="425"/>
    <x v="438"/>
    <x v="64"/>
    <n v="14"/>
    <m/>
    <m/>
    <m/>
    <m/>
    <x v="438"/>
    <n v="1.9663441128429"/>
    <n v="0.26049111689001198"/>
    <x v="431"/>
    <x v="1"/>
    <m/>
    <m/>
    <x v="261"/>
    <x v="0"/>
    <x v="423"/>
    <x v="0"/>
    <x v="0"/>
    <x v="0"/>
    <x v="0"/>
    <x v="0"/>
  </r>
  <r>
    <x v="440"/>
    <x v="71"/>
    <x v="426"/>
    <x v="439"/>
    <x v="0"/>
    <m/>
    <m/>
    <m/>
    <m/>
    <m/>
    <x v="439"/>
    <n v="1.25182762250978"/>
    <n v="0.26294934819931098"/>
    <x v="432"/>
    <x v="1"/>
    <m/>
    <m/>
    <x v="0"/>
    <x v="0"/>
    <x v="424"/>
    <x v="0"/>
    <x v="0"/>
    <x v="0"/>
    <x v="0"/>
    <x v="0"/>
  </r>
  <r>
    <x v="441"/>
    <x v="94"/>
    <x v="427"/>
    <x v="440"/>
    <x v="87"/>
    <n v="15"/>
    <m/>
    <m/>
    <m/>
    <m/>
    <x v="440"/>
    <n v="1.52604243241597"/>
    <n v="0.25011158278656997"/>
    <x v="433"/>
    <x v="1"/>
    <m/>
    <m/>
    <x v="0"/>
    <x v="0"/>
    <x v="425"/>
    <x v="0"/>
    <x v="0"/>
    <x v="0"/>
    <x v="0"/>
    <x v="0"/>
  </r>
  <r>
    <x v="442"/>
    <x v="43"/>
    <x v="428"/>
    <x v="441"/>
    <x v="29"/>
    <n v="17"/>
    <m/>
    <m/>
    <m/>
    <m/>
    <x v="441"/>
    <n v="2.4977922741074798"/>
    <n v="0.25011158278656997"/>
    <x v="434"/>
    <x v="1"/>
    <m/>
    <m/>
    <x v="0"/>
    <x v="0"/>
    <x v="426"/>
    <x v="0"/>
    <x v="0"/>
    <x v="0"/>
    <x v="0"/>
    <x v="0"/>
  </r>
  <r>
    <x v="443"/>
    <x v="34"/>
    <x v="429"/>
    <x v="442"/>
    <x v="26"/>
    <n v="37"/>
    <m/>
    <m/>
    <m/>
    <m/>
    <x v="442"/>
    <n v="2.1636436924521698"/>
    <n v="0.25011158278656997"/>
    <x v="328"/>
    <x v="1"/>
    <m/>
    <m/>
    <x v="0"/>
    <x v="0"/>
    <x v="427"/>
    <x v="0"/>
    <x v="0"/>
    <x v="0"/>
    <x v="0"/>
    <x v="0"/>
  </r>
  <r>
    <x v="444"/>
    <x v="14"/>
    <x v="430"/>
    <x v="443"/>
    <x v="0"/>
    <m/>
    <m/>
    <m/>
    <m/>
    <m/>
    <x v="443"/>
    <n v="1.25561139358713"/>
    <n v="0.25011158278656997"/>
    <x v="435"/>
    <x v="1"/>
    <m/>
    <m/>
    <x v="0"/>
    <x v="0"/>
    <x v="428"/>
    <x v="0"/>
    <x v="0"/>
    <x v="0"/>
    <x v="0"/>
    <x v="0"/>
  </r>
  <r>
    <x v="445"/>
    <x v="47"/>
    <x v="431"/>
    <x v="444"/>
    <x v="18"/>
    <n v="42"/>
    <m/>
    <m/>
    <m/>
    <m/>
    <x v="444"/>
    <n v="1.4116628645574401"/>
    <n v="0.26028465561586001"/>
    <x v="436"/>
    <x v="1"/>
    <m/>
    <m/>
    <x v="0"/>
    <x v="0"/>
    <x v="429"/>
    <x v="0"/>
    <x v="0"/>
    <x v="0"/>
    <x v="0"/>
    <x v="0"/>
  </r>
  <r>
    <x v="446"/>
    <x v="44"/>
    <x v="432"/>
    <x v="445"/>
    <x v="29"/>
    <n v="17"/>
    <m/>
    <m/>
    <m/>
    <m/>
    <x v="445"/>
    <n v="1.4521614017961999"/>
    <n v="0.25011158278656997"/>
    <x v="437"/>
    <x v="1"/>
    <m/>
    <m/>
    <x v="0"/>
    <x v="0"/>
    <x v="430"/>
    <x v="0"/>
    <x v="0"/>
    <x v="0"/>
    <x v="0"/>
    <x v="0"/>
  </r>
  <r>
    <x v="447"/>
    <x v="68"/>
    <x v="433"/>
    <x v="446"/>
    <x v="9"/>
    <n v="9"/>
    <m/>
    <m/>
    <m/>
    <m/>
    <x v="446"/>
    <n v="1.60773971460953"/>
    <n v="0.25428934423961602"/>
    <x v="438"/>
    <x v="1"/>
    <m/>
    <m/>
    <x v="0"/>
    <x v="1"/>
    <x v="431"/>
    <x v="0"/>
    <x v="0"/>
    <x v="0"/>
    <x v="0"/>
    <x v="0"/>
  </r>
  <r>
    <x v="448"/>
    <x v="181"/>
    <x v="434"/>
    <x v="447"/>
    <x v="59"/>
    <n v="47"/>
    <m/>
    <m/>
    <m/>
    <m/>
    <x v="447"/>
    <n v="1.91179289401998"/>
    <n v="0.24520436835753401"/>
    <x v="439"/>
    <x v="1"/>
    <m/>
    <m/>
    <x v="0"/>
    <x v="0"/>
    <x v="432"/>
    <x v="29"/>
    <x v="0"/>
    <x v="0"/>
    <x v="0"/>
    <x v="0"/>
  </r>
  <r>
    <x v="449"/>
    <x v="108"/>
    <x v="435"/>
    <x v="448"/>
    <x v="78"/>
    <n v="60"/>
    <m/>
    <m/>
    <m/>
    <m/>
    <x v="448"/>
    <n v="1.5900125503932601"/>
    <n v="0.25011158278656997"/>
    <x v="440"/>
    <x v="1"/>
    <m/>
    <m/>
    <x v="262"/>
    <x v="0"/>
    <x v="433"/>
    <x v="0"/>
    <x v="0"/>
    <x v="0"/>
    <x v="0"/>
    <x v="0"/>
  </r>
  <r>
    <x v="450"/>
    <x v="37"/>
    <x v="436"/>
    <x v="449"/>
    <x v="30"/>
    <n v="6"/>
    <m/>
    <m/>
    <m/>
    <m/>
    <x v="449"/>
    <n v="1.3453923372171499"/>
    <n v="0.26098599942946399"/>
    <x v="441"/>
    <x v="1"/>
    <m/>
    <m/>
    <x v="0"/>
    <x v="0"/>
    <x v="434"/>
    <x v="0"/>
    <x v="0"/>
    <x v="0"/>
    <x v="0"/>
    <x v="0"/>
  </r>
  <r>
    <x v="451"/>
    <x v="79"/>
    <x v="437"/>
    <x v="450"/>
    <x v="7"/>
    <n v="53"/>
    <m/>
    <m/>
    <m/>
    <m/>
    <x v="450"/>
    <n v="1.6192163882789401"/>
    <n v="0.25011158278656997"/>
    <x v="442"/>
    <x v="1"/>
    <m/>
    <m/>
    <x v="263"/>
    <x v="0"/>
    <x v="435"/>
    <x v="0"/>
    <x v="0"/>
    <x v="0"/>
    <x v="0"/>
    <x v="0"/>
  </r>
  <r>
    <x v="452"/>
    <x v="10"/>
    <x v="438"/>
    <x v="451"/>
    <x v="0"/>
    <m/>
    <m/>
    <m/>
    <m/>
    <m/>
    <x v="451"/>
    <n v="1.6595931816771801"/>
    <n v="0.25011158278656997"/>
    <x v="443"/>
    <x v="1"/>
    <m/>
    <m/>
    <x v="0"/>
    <x v="0"/>
    <x v="436"/>
    <x v="30"/>
    <x v="0"/>
    <x v="0"/>
    <x v="0"/>
    <x v="0"/>
  </r>
  <r>
    <x v="453"/>
    <x v="169"/>
    <x v="439"/>
    <x v="452"/>
    <x v="0"/>
    <m/>
    <m/>
    <m/>
    <m/>
    <m/>
    <x v="452"/>
    <n v="1.3849188895350499"/>
    <n v="0.25011158278656997"/>
    <x v="444"/>
    <x v="1"/>
    <m/>
    <m/>
    <x v="0"/>
    <x v="0"/>
    <x v="437"/>
    <x v="0"/>
    <x v="0"/>
    <x v="0"/>
    <x v="0"/>
    <x v="0"/>
  </r>
  <r>
    <x v="454"/>
    <x v="94"/>
    <x v="440"/>
    <x v="453"/>
    <x v="69"/>
    <n v="24"/>
    <m/>
    <m/>
    <m/>
    <m/>
    <x v="453"/>
    <n v="1.43931193491766"/>
    <n v="0.26098599942946399"/>
    <x v="445"/>
    <x v="1"/>
    <m/>
    <m/>
    <x v="0"/>
    <x v="0"/>
    <x v="438"/>
    <x v="0"/>
    <x v="0"/>
    <x v="0"/>
    <x v="0"/>
    <x v="0"/>
  </r>
  <r>
    <x v="455"/>
    <x v="85"/>
    <x v="441"/>
    <x v="454"/>
    <x v="46"/>
    <n v="3"/>
    <m/>
    <m/>
    <m/>
    <m/>
    <x v="454"/>
    <n v="1.5255227366572801"/>
    <n v="0.25011158278656997"/>
    <x v="446"/>
    <x v="1"/>
    <m/>
    <m/>
    <x v="0"/>
    <x v="0"/>
    <x v="439"/>
    <x v="0"/>
    <x v="0"/>
    <x v="0"/>
    <x v="0"/>
    <x v="0"/>
  </r>
  <r>
    <x v="456"/>
    <x v="153"/>
    <x v="442"/>
    <x v="455"/>
    <x v="32"/>
    <n v="65"/>
    <m/>
    <m/>
    <m/>
    <m/>
    <x v="455"/>
    <n v="1.49412504594944"/>
    <n v="0.25011158278656997"/>
    <x v="447"/>
    <x v="1"/>
    <m/>
    <m/>
    <x v="264"/>
    <x v="0"/>
    <x v="440"/>
    <x v="0"/>
    <x v="0"/>
    <x v="0"/>
    <x v="0"/>
    <x v="0"/>
  </r>
  <r>
    <x v="457"/>
    <x v="36"/>
    <x v="443"/>
    <x v="456"/>
    <x v="43"/>
    <n v="31"/>
    <m/>
    <m/>
    <m/>
    <m/>
    <x v="456"/>
    <n v="1.52429385955862"/>
    <n v="0.25466207487895098"/>
    <x v="448"/>
    <x v="1"/>
    <m/>
    <m/>
    <x v="265"/>
    <x v="0"/>
    <x v="441"/>
    <x v="0"/>
    <x v="0"/>
    <x v="0"/>
    <x v="0"/>
    <x v="0"/>
  </r>
  <r>
    <x v="458"/>
    <x v="109"/>
    <x v="444"/>
    <x v="457"/>
    <x v="18"/>
    <n v="42"/>
    <m/>
    <m/>
    <m/>
    <m/>
    <x v="457"/>
    <n v="2.40857846034478"/>
    <n v="0.25011158278656997"/>
    <x v="449"/>
    <x v="1"/>
    <m/>
    <m/>
    <x v="266"/>
    <x v="0"/>
    <x v="442"/>
    <x v="0"/>
    <x v="0"/>
    <x v="0"/>
    <x v="0"/>
    <x v="0"/>
  </r>
  <r>
    <x v="459"/>
    <x v="25"/>
    <x v="445"/>
    <x v="458"/>
    <x v="43"/>
    <n v="31"/>
    <m/>
    <m/>
    <m/>
    <m/>
    <x v="458"/>
    <n v="2.2714050750604802"/>
    <n v="0.25011158278656997"/>
    <x v="450"/>
    <x v="1"/>
    <m/>
    <m/>
    <x v="267"/>
    <x v="0"/>
    <x v="443"/>
    <x v="0"/>
    <x v="0"/>
    <x v="0"/>
    <x v="0"/>
    <x v="0"/>
  </r>
  <r>
    <x v="460"/>
    <x v="119"/>
    <x v="446"/>
    <x v="459"/>
    <x v="35"/>
    <n v="40"/>
    <m/>
    <m/>
    <m/>
    <m/>
    <x v="459"/>
    <n v="1.4940778799034899"/>
    <n v="0.26098599942946399"/>
    <x v="451"/>
    <x v="1"/>
    <m/>
    <m/>
    <x v="268"/>
    <x v="0"/>
    <x v="444"/>
    <x v="0"/>
    <x v="0"/>
    <x v="0"/>
    <x v="0"/>
    <x v="0"/>
  </r>
  <r>
    <x v="461"/>
    <x v="5"/>
    <x v="447"/>
    <x v="460"/>
    <x v="20"/>
    <n v="33"/>
    <m/>
    <m/>
    <m/>
    <m/>
    <x v="460"/>
    <n v="1.63498184041474"/>
    <n v="0.26098599942946399"/>
    <x v="452"/>
    <x v="1"/>
    <m/>
    <m/>
    <x v="269"/>
    <x v="0"/>
    <x v="445"/>
    <x v="0"/>
    <x v="0"/>
    <x v="0"/>
    <x v="0"/>
    <x v="0"/>
  </r>
  <r>
    <x v="462"/>
    <x v="179"/>
    <x v="448"/>
    <x v="461"/>
    <x v="46"/>
    <n v="3"/>
    <m/>
    <m/>
    <m/>
    <m/>
    <x v="461"/>
    <n v="1.44948066354764"/>
    <n v="0.25011158278656997"/>
    <x v="453"/>
    <x v="1"/>
    <m/>
    <m/>
    <x v="0"/>
    <x v="0"/>
    <x v="446"/>
    <x v="0"/>
    <x v="0"/>
    <x v="0"/>
    <x v="0"/>
    <x v="0"/>
  </r>
  <r>
    <x v="463"/>
    <x v="53"/>
    <x v="449"/>
    <x v="462"/>
    <x v="15"/>
    <n v="34"/>
    <m/>
    <m/>
    <m/>
    <m/>
    <x v="462"/>
    <n v="1.62679891603863"/>
    <n v="0.24566583394284899"/>
    <x v="454"/>
    <x v="1"/>
    <m/>
    <m/>
    <x v="270"/>
    <x v="0"/>
    <x v="447"/>
    <x v="0"/>
    <x v="0"/>
    <x v="0"/>
    <x v="0"/>
    <x v="0"/>
  </r>
  <r>
    <x v="464"/>
    <x v="99"/>
    <x v="450"/>
    <x v="463"/>
    <x v="37"/>
    <n v="57"/>
    <m/>
    <m/>
    <m/>
    <m/>
    <x v="463"/>
    <n v="1.50249797281005"/>
    <n v="0.24377525885740201"/>
    <x v="455"/>
    <x v="1"/>
    <m/>
    <m/>
    <x v="271"/>
    <x v="0"/>
    <x v="448"/>
    <x v="31"/>
    <x v="0"/>
    <x v="0"/>
    <x v="0"/>
    <x v="0"/>
  </r>
  <r>
    <x v="465"/>
    <x v="40"/>
    <x v="451"/>
    <x v="464"/>
    <x v="51"/>
    <n v="46"/>
    <m/>
    <m/>
    <m/>
    <m/>
    <x v="464"/>
    <n v="1.6033803537756099"/>
    <n v="0.277742680035029"/>
    <x v="456"/>
    <x v="1"/>
    <m/>
    <m/>
    <x v="272"/>
    <x v="0"/>
    <x v="449"/>
    <x v="0"/>
    <x v="0"/>
    <x v="0"/>
    <x v="0"/>
    <x v="0"/>
  </r>
  <r>
    <x v="466"/>
    <x v="3"/>
    <x v="452"/>
    <x v="465"/>
    <x v="34"/>
    <n v="29"/>
    <m/>
    <m/>
    <m/>
    <m/>
    <x v="465"/>
    <n v="1.26464238256828"/>
    <n v="0.27141951028869599"/>
    <x v="457"/>
    <x v="1"/>
    <m/>
    <m/>
    <x v="273"/>
    <x v="0"/>
    <x v="450"/>
    <x v="0"/>
    <x v="0"/>
    <x v="0"/>
    <x v="0"/>
    <x v="0"/>
  </r>
  <r>
    <x v="467"/>
    <x v="68"/>
    <x v="453"/>
    <x v="466"/>
    <x v="87"/>
    <n v="15"/>
    <m/>
    <m/>
    <m/>
    <m/>
    <x v="466"/>
    <n v="1.6502858614547899"/>
    <n v="0.25011158278656997"/>
    <x v="458"/>
    <x v="1"/>
    <m/>
    <m/>
    <x v="0"/>
    <x v="0"/>
    <x v="451"/>
    <x v="32"/>
    <x v="0"/>
    <x v="0"/>
    <x v="0"/>
    <x v="0"/>
  </r>
  <r>
    <x v="468"/>
    <x v="34"/>
    <x v="454"/>
    <x v="467"/>
    <x v="20"/>
    <n v="33"/>
    <m/>
    <m/>
    <m/>
    <m/>
    <x v="467"/>
    <n v="1.5156730260036899"/>
    <n v="0.24716500131272001"/>
    <x v="459"/>
    <x v="1"/>
    <m/>
    <m/>
    <x v="274"/>
    <x v="0"/>
    <x v="452"/>
    <x v="0"/>
    <x v="0"/>
    <x v="0"/>
    <x v="0"/>
    <x v="0"/>
  </r>
  <r>
    <x v="469"/>
    <x v="95"/>
    <x v="455"/>
    <x v="468"/>
    <x v="74"/>
    <n v="79"/>
    <m/>
    <m/>
    <m/>
    <m/>
    <x v="468"/>
    <n v="1.5661663164434101"/>
    <n v="0.26098599942946399"/>
    <x v="460"/>
    <x v="1"/>
    <m/>
    <m/>
    <x v="275"/>
    <x v="0"/>
    <x v="453"/>
    <x v="0"/>
    <x v="0"/>
    <x v="0"/>
    <x v="0"/>
    <x v="0"/>
  </r>
  <r>
    <x v="470"/>
    <x v="153"/>
    <x v="456"/>
    <x v="469"/>
    <x v="47"/>
    <n v="73"/>
    <m/>
    <m/>
    <m/>
    <m/>
    <x v="469"/>
    <n v="1.96506704249069"/>
    <n v="0.24973540491349999"/>
    <x v="461"/>
    <x v="1"/>
    <m/>
    <m/>
    <x v="0"/>
    <x v="0"/>
    <x v="454"/>
    <x v="0"/>
    <x v="0"/>
    <x v="0"/>
    <x v="0"/>
    <x v="0"/>
  </r>
  <r>
    <x v="471"/>
    <x v="146"/>
    <x v="457"/>
    <x v="470"/>
    <x v="67"/>
    <n v="62"/>
    <m/>
    <m/>
    <m/>
    <m/>
    <x v="470"/>
    <n v="1.5359104921179201"/>
    <n v="0.25069978973791501"/>
    <x v="462"/>
    <x v="1"/>
    <m/>
    <m/>
    <x v="0"/>
    <x v="0"/>
    <x v="455"/>
    <x v="0"/>
    <x v="0"/>
    <x v="0"/>
    <x v="0"/>
    <x v="0"/>
  </r>
  <r>
    <x v="472"/>
    <x v="96"/>
    <x v="458"/>
    <x v="471"/>
    <x v="93"/>
    <n v="51"/>
    <m/>
    <m/>
    <m/>
    <m/>
    <x v="471"/>
    <n v="1.6007096753448"/>
    <n v="0.25011158278656997"/>
    <x v="463"/>
    <x v="1"/>
    <m/>
    <m/>
    <x v="276"/>
    <x v="0"/>
    <x v="456"/>
    <x v="0"/>
    <x v="0"/>
    <x v="0"/>
    <x v="0"/>
    <x v="0"/>
  </r>
  <r>
    <x v="473"/>
    <x v="43"/>
    <x v="459"/>
    <x v="472"/>
    <x v="42"/>
    <n v="22"/>
    <m/>
    <m/>
    <m/>
    <m/>
    <x v="472"/>
    <n v="1.53233406011712"/>
    <n v="0.25011158278656997"/>
    <x v="464"/>
    <x v="1"/>
    <m/>
    <m/>
    <x v="277"/>
    <x v="0"/>
    <x v="457"/>
    <x v="0"/>
    <x v="0"/>
    <x v="0"/>
    <x v="0"/>
    <x v="0"/>
  </r>
  <r>
    <x v="474"/>
    <x v="97"/>
    <x v="460"/>
    <x v="473"/>
    <x v="81"/>
    <n v="11"/>
    <m/>
    <m/>
    <m/>
    <m/>
    <x v="473"/>
    <n v="1.57917902729352"/>
    <n v="0.25011158278656997"/>
    <x v="465"/>
    <x v="1"/>
    <m/>
    <m/>
    <x v="0"/>
    <x v="0"/>
    <x v="458"/>
    <x v="33"/>
    <x v="0"/>
    <x v="0"/>
    <x v="0"/>
    <x v="0"/>
  </r>
  <r>
    <x v="475"/>
    <x v="47"/>
    <x v="461"/>
    <x v="474"/>
    <x v="17"/>
    <n v="37"/>
    <m/>
    <m/>
    <m/>
    <m/>
    <x v="474"/>
    <n v="1.6257037141482"/>
    <n v="0.25011158278656997"/>
    <x v="466"/>
    <x v="1"/>
    <m/>
    <m/>
    <x v="278"/>
    <x v="0"/>
    <x v="459"/>
    <x v="0"/>
    <x v="0"/>
    <x v="0"/>
    <x v="0"/>
    <x v="0"/>
  </r>
  <r>
    <x v="476"/>
    <x v="124"/>
    <x v="462"/>
    <x v="475"/>
    <x v="37"/>
    <n v="57"/>
    <m/>
    <m/>
    <m/>
    <m/>
    <x v="475"/>
    <n v="1.4605264980264201"/>
    <n v="0.25011158278656997"/>
    <x v="467"/>
    <x v="1"/>
    <m/>
    <m/>
    <x v="279"/>
    <x v="0"/>
    <x v="460"/>
    <x v="0"/>
    <x v="0"/>
    <x v="0"/>
    <x v="0"/>
    <x v="0"/>
  </r>
  <r>
    <x v="477"/>
    <x v="57"/>
    <x v="463"/>
    <x v="476"/>
    <x v="67"/>
    <n v="62"/>
    <m/>
    <m/>
    <m/>
    <m/>
    <x v="476"/>
    <n v="1.6029269244745701"/>
    <n v="0.28273483271525301"/>
    <x v="468"/>
    <x v="1"/>
    <m/>
    <m/>
    <x v="280"/>
    <x v="0"/>
    <x v="461"/>
    <x v="0"/>
    <x v="0"/>
    <x v="0"/>
    <x v="0"/>
    <x v="0"/>
  </r>
  <r>
    <x v="478"/>
    <x v="88"/>
    <x v="464"/>
    <x v="477"/>
    <x v="35"/>
    <n v="40"/>
    <m/>
    <m/>
    <m/>
    <m/>
    <x v="477"/>
    <n v="2.3252383383395099"/>
    <n v="0.235333941323212"/>
    <x v="469"/>
    <x v="1"/>
    <m/>
    <m/>
    <x v="281"/>
    <x v="0"/>
    <x v="462"/>
    <x v="0"/>
    <x v="0"/>
    <x v="0"/>
    <x v="0"/>
    <x v="0"/>
  </r>
  <r>
    <x v="479"/>
    <x v="72"/>
    <x v="465"/>
    <x v="478"/>
    <x v="42"/>
    <n v="22"/>
    <m/>
    <m/>
    <m/>
    <m/>
    <x v="478"/>
    <n v="1.4648236666544701"/>
    <n v="0.25011158278656997"/>
    <x v="470"/>
    <x v="1"/>
    <m/>
    <m/>
    <x v="282"/>
    <x v="0"/>
    <x v="463"/>
    <x v="34"/>
    <x v="0"/>
    <x v="0"/>
    <x v="0"/>
    <x v="0"/>
  </r>
  <r>
    <x v="480"/>
    <x v="182"/>
    <x v="466"/>
    <x v="479"/>
    <x v="2"/>
    <n v="35"/>
    <m/>
    <m/>
    <m/>
    <m/>
    <x v="479"/>
    <n v="1.5118998465386799"/>
    <n v="0.26751243357154197"/>
    <x v="471"/>
    <x v="1"/>
    <m/>
    <m/>
    <x v="283"/>
    <x v="0"/>
    <x v="464"/>
    <x v="0"/>
    <x v="0"/>
    <x v="0"/>
    <x v="0"/>
    <x v="0"/>
  </r>
  <r>
    <x v="481"/>
    <x v="44"/>
    <x v="467"/>
    <x v="480"/>
    <x v="36"/>
    <n v="43"/>
    <m/>
    <m/>
    <m/>
    <m/>
    <x v="480"/>
    <n v="1.63474029155917"/>
    <n v="0.28273483271525301"/>
    <x v="472"/>
    <x v="1"/>
    <m/>
    <m/>
    <x v="284"/>
    <x v="0"/>
    <x v="465"/>
    <x v="0"/>
    <x v="0"/>
    <x v="0"/>
    <x v="0"/>
    <x v="0"/>
  </r>
  <r>
    <x v="482"/>
    <x v="53"/>
    <x v="468"/>
    <x v="481"/>
    <x v="18"/>
    <n v="42"/>
    <m/>
    <m/>
    <m/>
    <m/>
    <x v="481"/>
    <n v="1.47172361567525"/>
    <n v="0.24674900910681899"/>
    <x v="473"/>
    <x v="1"/>
    <m/>
    <m/>
    <x v="285"/>
    <x v="0"/>
    <x v="466"/>
    <x v="0"/>
    <x v="0"/>
    <x v="0"/>
    <x v="0"/>
    <x v="0"/>
  </r>
  <r>
    <x v="483"/>
    <x v="183"/>
    <x v="469"/>
    <x v="482"/>
    <x v="46"/>
    <n v="3"/>
    <m/>
    <m/>
    <m/>
    <m/>
    <x v="482"/>
    <n v="1.28683253627714"/>
    <n v="0.32623246768636599"/>
    <x v="474"/>
    <x v="1"/>
    <m/>
    <m/>
    <x v="0"/>
    <x v="0"/>
    <x v="467"/>
    <x v="0"/>
    <x v="0"/>
    <x v="0"/>
    <x v="0"/>
    <x v="0"/>
  </r>
  <r>
    <x v="484"/>
    <x v="184"/>
    <x v="470"/>
    <x v="483"/>
    <x v="94"/>
    <n v="55"/>
    <m/>
    <m/>
    <m/>
    <m/>
    <x v="483"/>
    <n v="1.6414175160343301"/>
    <n v="0.25050819149582898"/>
    <x v="475"/>
    <x v="1"/>
    <m/>
    <m/>
    <x v="286"/>
    <x v="0"/>
    <x v="468"/>
    <x v="0"/>
    <x v="0"/>
    <x v="0"/>
    <x v="0"/>
    <x v="0"/>
  </r>
  <r>
    <x v="485"/>
    <x v="92"/>
    <x v="471"/>
    <x v="484"/>
    <x v="11"/>
    <n v="41"/>
    <m/>
    <m/>
    <m/>
    <m/>
    <x v="484"/>
    <n v="1.72490259889717"/>
    <n v="0.25011158278656997"/>
    <x v="476"/>
    <x v="1"/>
    <m/>
    <m/>
    <x v="0"/>
    <x v="0"/>
    <x v="469"/>
    <x v="0"/>
    <x v="0"/>
    <x v="0"/>
    <x v="0"/>
    <x v="0"/>
  </r>
  <r>
    <x v="486"/>
    <x v="48"/>
    <x v="472"/>
    <x v="485"/>
    <x v="18"/>
    <n v="42"/>
    <m/>
    <m/>
    <m/>
    <m/>
    <x v="485"/>
    <n v="1.64612482087347"/>
    <n v="0.25011158278656997"/>
    <x v="477"/>
    <x v="1"/>
    <m/>
    <m/>
    <x v="287"/>
    <x v="0"/>
    <x v="470"/>
    <x v="0"/>
    <x v="0"/>
    <x v="0"/>
    <x v="0"/>
    <x v="0"/>
  </r>
  <r>
    <x v="487"/>
    <x v="174"/>
    <x v="473"/>
    <x v="486"/>
    <x v="3"/>
    <n v="45"/>
    <m/>
    <m/>
    <m/>
    <m/>
    <x v="486"/>
    <n v="1.4571336658940099"/>
    <n v="0.25011158278656997"/>
    <x v="478"/>
    <x v="1"/>
    <m/>
    <m/>
    <x v="288"/>
    <x v="0"/>
    <x v="471"/>
    <x v="0"/>
    <x v="0"/>
    <x v="0"/>
    <x v="0"/>
    <x v="0"/>
  </r>
  <r>
    <x v="488"/>
    <x v="185"/>
    <x v="474"/>
    <x v="487"/>
    <x v="48"/>
    <n v="32"/>
    <m/>
    <m/>
    <m/>
    <m/>
    <x v="487"/>
    <n v="1.87946530113576"/>
    <n v="0.253150285122338"/>
    <x v="479"/>
    <x v="1"/>
    <m/>
    <m/>
    <x v="289"/>
    <x v="0"/>
    <x v="472"/>
    <x v="0"/>
    <x v="0"/>
    <x v="0"/>
    <x v="0"/>
    <x v="0"/>
  </r>
  <r>
    <x v="489"/>
    <x v="111"/>
    <x v="475"/>
    <x v="488"/>
    <x v="103"/>
    <n v="63"/>
    <m/>
    <m/>
    <m/>
    <m/>
    <x v="488"/>
    <n v="1.4494789045470799"/>
    <n v="0.26196219329812498"/>
    <x v="480"/>
    <x v="1"/>
    <m/>
    <m/>
    <x v="290"/>
    <x v="0"/>
    <x v="473"/>
    <x v="0"/>
    <x v="0"/>
    <x v="0"/>
    <x v="0"/>
    <x v="0"/>
  </r>
  <r>
    <x v="490"/>
    <x v="141"/>
    <x v="476"/>
    <x v="489"/>
    <x v="18"/>
    <n v="42"/>
    <m/>
    <m/>
    <m/>
    <m/>
    <x v="489"/>
    <n v="1.3989754605875699"/>
    <n v="0.26937152008825199"/>
    <x v="481"/>
    <x v="1"/>
    <m/>
    <m/>
    <x v="291"/>
    <x v="0"/>
    <x v="474"/>
    <x v="0"/>
    <x v="0"/>
    <x v="0"/>
    <x v="0"/>
    <x v="0"/>
  </r>
  <r>
    <x v="491"/>
    <x v="88"/>
    <x v="477"/>
    <x v="490"/>
    <x v="20"/>
    <n v="33"/>
    <m/>
    <m/>
    <m/>
    <m/>
    <x v="490"/>
    <n v="1.5210927133062699"/>
    <n v="0.26098599942946399"/>
    <x v="482"/>
    <x v="1"/>
    <m/>
    <m/>
    <x v="292"/>
    <x v="0"/>
    <x v="475"/>
    <x v="0"/>
    <x v="0"/>
    <x v="0"/>
    <x v="0"/>
    <x v="0"/>
  </r>
  <r>
    <x v="492"/>
    <x v="91"/>
    <x v="478"/>
    <x v="491"/>
    <x v="26"/>
    <n v="38"/>
    <m/>
    <m/>
    <m/>
    <m/>
    <x v="491"/>
    <n v="1.6910115317459"/>
    <n v="0.25011158278656997"/>
    <x v="411"/>
    <x v="1"/>
    <m/>
    <m/>
    <x v="293"/>
    <x v="0"/>
    <x v="476"/>
    <x v="0"/>
    <x v="0"/>
    <x v="0"/>
    <x v="0"/>
    <x v="0"/>
  </r>
  <r>
    <x v="493"/>
    <x v="80"/>
    <x v="479"/>
    <x v="492"/>
    <x v="26"/>
    <n v="38"/>
    <m/>
    <m/>
    <m/>
    <m/>
    <x v="492"/>
    <n v="1.71438669024751"/>
    <n v="0.25011158278656997"/>
    <x v="483"/>
    <x v="1"/>
    <m/>
    <m/>
    <x v="294"/>
    <x v="0"/>
    <x v="477"/>
    <x v="35"/>
    <x v="0"/>
    <x v="0"/>
    <x v="0"/>
    <x v="0"/>
  </r>
  <r>
    <x v="494"/>
    <x v="152"/>
    <x v="480"/>
    <x v="493"/>
    <x v="3"/>
    <n v="45"/>
    <m/>
    <m/>
    <m/>
    <m/>
    <x v="493"/>
    <n v="1.49745815090997"/>
    <n v="0.25011158278656997"/>
    <x v="484"/>
    <x v="1"/>
    <m/>
    <m/>
    <x v="295"/>
    <x v="0"/>
    <x v="478"/>
    <x v="0"/>
    <x v="0"/>
    <x v="0"/>
    <x v="0"/>
    <x v="0"/>
  </r>
  <r>
    <x v="495"/>
    <x v="167"/>
    <x v="481"/>
    <x v="494"/>
    <x v="103"/>
    <n v="54"/>
    <m/>
    <m/>
    <m/>
    <m/>
    <x v="494"/>
    <n v="2.4925595206403401"/>
    <n v="0.25011158278656997"/>
    <x v="485"/>
    <x v="1"/>
    <m/>
    <m/>
    <x v="296"/>
    <x v="0"/>
    <x v="479"/>
    <x v="0"/>
    <x v="0"/>
    <x v="0"/>
    <x v="0"/>
    <x v="0"/>
  </r>
  <r>
    <x v="496"/>
    <x v="57"/>
    <x v="482"/>
    <x v="495"/>
    <x v="93"/>
    <n v="51"/>
    <m/>
    <m/>
    <m/>
    <m/>
    <x v="495"/>
    <n v="1.52735228818911"/>
    <n v="0.26098599942946399"/>
    <x v="486"/>
    <x v="1"/>
    <m/>
    <m/>
    <x v="297"/>
    <x v="0"/>
    <x v="480"/>
    <x v="0"/>
    <x v="0"/>
    <x v="0"/>
    <x v="0"/>
    <x v="0"/>
  </r>
  <r>
    <x v="497"/>
    <x v="11"/>
    <x v="483"/>
    <x v="496"/>
    <x v="76"/>
    <n v="16"/>
    <m/>
    <m/>
    <m/>
    <m/>
    <x v="496"/>
    <n v="1.8631911560851799"/>
    <n v="0.263601757384126"/>
    <x v="487"/>
    <x v="1"/>
    <m/>
    <m/>
    <x v="0"/>
    <x v="0"/>
    <x v="481"/>
    <x v="0"/>
    <x v="0"/>
    <x v="0"/>
    <x v="0"/>
    <x v="0"/>
  </r>
  <r>
    <x v="498"/>
    <x v="19"/>
    <x v="484"/>
    <x v="497"/>
    <x v="73"/>
    <n v="49"/>
    <m/>
    <m/>
    <m/>
    <m/>
    <x v="497"/>
    <n v="1.7782588730347699"/>
    <n v="0.24676718833067099"/>
    <x v="488"/>
    <x v="1"/>
    <m/>
    <m/>
    <x v="0"/>
    <x v="0"/>
    <x v="482"/>
    <x v="0"/>
    <x v="0"/>
    <x v="0"/>
    <x v="0"/>
    <x v="0"/>
  </r>
  <r>
    <x v="499"/>
    <x v="78"/>
    <x v="485"/>
    <x v="498"/>
    <x v="61"/>
    <n v="30"/>
    <m/>
    <m/>
    <m/>
    <m/>
    <x v="498"/>
    <n v="1.4853723305908499"/>
    <n v="0.24598092915907099"/>
    <x v="489"/>
    <x v="1"/>
    <m/>
    <m/>
    <x v="0"/>
    <x v="0"/>
    <x v="483"/>
    <x v="36"/>
    <x v="0"/>
    <x v="0"/>
    <x v="0"/>
    <x v="0"/>
  </r>
  <r>
    <x v="500"/>
    <x v="101"/>
    <x v="486"/>
    <x v="499"/>
    <x v="50"/>
    <n v="44"/>
    <m/>
    <m/>
    <m/>
    <m/>
    <x v="499"/>
    <n v="1.6036468918612801"/>
    <n v="0.25011158278656997"/>
    <x v="174"/>
    <x v="1"/>
    <m/>
    <m/>
    <x v="298"/>
    <x v="0"/>
    <x v="484"/>
    <x v="0"/>
    <x v="0"/>
    <x v="0"/>
    <x v="0"/>
    <x v="0"/>
  </r>
  <r>
    <x v="501"/>
    <x v="10"/>
    <x v="487"/>
    <x v="500"/>
    <x v="11"/>
    <n v="41"/>
    <m/>
    <m/>
    <m/>
    <m/>
    <x v="500"/>
    <n v="1.4941015790110099"/>
    <n v="0.25011158278656997"/>
    <x v="490"/>
    <x v="1"/>
    <m/>
    <m/>
    <x v="299"/>
    <x v="0"/>
    <x v="485"/>
    <x v="37"/>
    <x v="0"/>
    <x v="0"/>
    <x v="0"/>
    <x v="0"/>
  </r>
  <r>
    <x v="502"/>
    <x v="91"/>
    <x v="488"/>
    <x v="501"/>
    <x v="20"/>
    <n v="33"/>
    <m/>
    <m/>
    <m/>
    <m/>
    <x v="501"/>
    <n v="1.84196414398794"/>
    <n v="0.28470200625352698"/>
    <x v="491"/>
    <x v="1"/>
    <m/>
    <m/>
    <x v="300"/>
    <x v="0"/>
    <x v="486"/>
    <x v="0"/>
    <x v="0"/>
    <x v="0"/>
    <x v="0"/>
    <x v="0"/>
  </r>
  <r>
    <x v="503"/>
    <x v="186"/>
    <x v="489"/>
    <x v="502"/>
    <x v="13"/>
    <n v="58"/>
    <m/>
    <m/>
    <m/>
    <m/>
    <x v="502"/>
    <n v="1.5719233332818701"/>
    <n v="0.25011158278656997"/>
    <x v="492"/>
    <x v="1"/>
    <m/>
    <m/>
    <x v="0"/>
    <x v="0"/>
    <x v="487"/>
    <x v="0"/>
    <x v="0"/>
    <x v="0"/>
    <x v="0"/>
    <x v="0"/>
  </r>
  <r>
    <x v="504"/>
    <x v="97"/>
    <x v="490"/>
    <x v="503"/>
    <x v="69"/>
    <n v="24"/>
    <m/>
    <m/>
    <m/>
    <m/>
    <x v="503"/>
    <n v="1.3785562778315299"/>
    <n v="0.26098599942946399"/>
    <x v="493"/>
    <x v="1"/>
    <m/>
    <m/>
    <x v="0"/>
    <x v="0"/>
    <x v="488"/>
    <x v="0"/>
    <x v="0"/>
    <x v="0"/>
    <x v="0"/>
    <x v="0"/>
  </r>
  <r>
    <x v="505"/>
    <x v="84"/>
    <x v="491"/>
    <x v="504"/>
    <x v="36"/>
    <n v="43"/>
    <m/>
    <m/>
    <m/>
    <m/>
    <x v="504"/>
    <n v="1.52709652508998"/>
    <n v="0.25011158278656997"/>
    <x v="494"/>
    <x v="1"/>
    <m/>
    <m/>
    <x v="301"/>
    <x v="0"/>
    <x v="489"/>
    <x v="0"/>
    <x v="0"/>
    <x v="0"/>
    <x v="0"/>
    <x v="0"/>
  </r>
  <r>
    <x v="506"/>
    <x v="26"/>
    <x v="492"/>
    <x v="505"/>
    <x v="73"/>
    <n v="49"/>
    <m/>
    <m/>
    <m/>
    <m/>
    <x v="505"/>
    <n v="1.67516462496509"/>
    <n v="0.25011158278656997"/>
    <x v="495"/>
    <x v="1"/>
    <m/>
    <m/>
    <x v="302"/>
    <x v="0"/>
    <x v="490"/>
    <x v="0"/>
    <x v="0"/>
    <x v="0"/>
    <x v="0"/>
    <x v="0"/>
  </r>
  <r>
    <x v="507"/>
    <x v="105"/>
    <x v="493"/>
    <x v="506"/>
    <x v="67"/>
    <n v="62"/>
    <m/>
    <m/>
    <m/>
    <m/>
    <x v="506"/>
    <n v="1.7016063025306201"/>
    <n v="0.273954253689284"/>
    <x v="496"/>
    <x v="2"/>
    <n v="65.819999694824205"/>
    <n v="65.819999694824205"/>
    <x v="303"/>
    <x v="2"/>
    <x v="491"/>
    <x v="0"/>
    <x v="0"/>
    <x v="0"/>
    <x v="1"/>
    <x v="1"/>
  </r>
  <r>
    <x v="508"/>
    <x v="99"/>
    <x v="494"/>
    <x v="507"/>
    <x v="104"/>
    <n v="61"/>
    <n v="31.249027252197202"/>
    <n v="75.694633483886705"/>
    <n v="31.2624607086181"/>
    <n v="75.707183837890597"/>
    <x v="507"/>
    <n v="6.2106352225049397"/>
    <n v="1.16114053097633E-2"/>
    <x v="497"/>
    <x v="1"/>
    <m/>
    <m/>
    <x v="304"/>
    <x v="3"/>
    <x v="492"/>
    <x v="0"/>
    <x v="0"/>
    <x v="0"/>
    <x v="0"/>
    <x v="2"/>
  </r>
  <r>
    <x v="509"/>
    <x v="187"/>
    <x v="495"/>
    <x v="508"/>
    <x v="13"/>
    <n v="57"/>
    <n v="31.249809265136701"/>
    <n v="75.697166442871094"/>
    <n v="31.262344360351499"/>
    <n v="75.707984924316406"/>
    <x v="508"/>
    <n v="4.4437231282940903"/>
    <n v="2.15088601235539E-3"/>
    <x v="498"/>
    <x v="1"/>
    <m/>
    <m/>
    <x v="0"/>
    <x v="4"/>
    <x v="493"/>
    <x v="0"/>
    <x v="0"/>
    <x v="0"/>
    <x v="0"/>
    <x v="3"/>
  </r>
  <r>
    <x v="510"/>
    <x v="71"/>
    <x v="496"/>
    <x v="509"/>
    <x v="80"/>
    <n v="7"/>
    <n v="31.253826141357401"/>
    <n v="75.693374633789006"/>
    <n v="31.254478454589801"/>
    <n v="75.69482421875"/>
    <x v="509"/>
    <n v="1.6593182141105101"/>
    <n v="0.25153756144225897"/>
    <x v="499"/>
    <x v="1"/>
    <m/>
    <m/>
    <x v="0"/>
    <x v="0"/>
    <x v="494"/>
    <x v="0"/>
    <x v="0"/>
    <x v="0"/>
    <x v="0"/>
    <x v="4"/>
  </r>
  <r>
    <x v="511"/>
    <x v="141"/>
    <x v="497"/>
    <x v="510"/>
    <x v="0"/>
    <m/>
    <m/>
    <m/>
    <m/>
    <m/>
    <x v="510"/>
    <n v="1.3382105203624399"/>
    <n v="0.30336224418541902"/>
    <x v="500"/>
    <x v="1"/>
    <m/>
    <m/>
    <x v="0"/>
    <x v="0"/>
    <x v="495"/>
    <x v="0"/>
    <x v="0"/>
    <x v="0"/>
    <x v="0"/>
    <x v="5"/>
  </r>
  <r>
    <x v="512"/>
    <x v="144"/>
    <x v="498"/>
    <x v="511"/>
    <x v="30"/>
    <n v="6"/>
    <n v="31.249393463134702"/>
    <n v="75.697319030761705"/>
    <n v="31.253910064697202"/>
    <n v="75.699424743652301"/>
    <x v="511"/>
    <n v="3.67613520154101"/>
    <n v="0.31382299114162399"/>
    <x v="501"/>
    <x v="1"/>
    <m/>
    <m/>
    <x v="0"/>
    <x v="0"/>
    <x v="496"/>
    <x v="0"/>
    <x v="0"/>
    <x v="0"/>
    <x v="0"/>
    <x v="6"/>
  </r>
  <r>
    <x v="513"/>
    <x v="95"/>
    <x v="499"/>
    <x v="512"/>
    <x v="7"/>
    <n v="53"/>
    <n v="31.221578598022401"/>
    <n v="75.694755554199205"/>
    <n v="31.264938354492099"/>
    <n v="75.766799926757798"/>
    <x v="512"/>
    <n v="3.6770358388355802"/>
    <n v="8.3533874131820104E-2"/>
    <x v="502"/>
    <x v="1"/>
    <m/>
    <m/>
    <x v="305"/>
    <x v="0"/>
    <x v="497"/>
    <x v="0"/>
    <x v="0"/>
    <x v="0"/>
    <x v="0"/>
    <x v="7"/>
  </r>
  <r>
    <x v="514"/>
    <x v="112"/>
    <x v="500"/>
    <x v="513"/>
    <x v="56"/>
    <n v="54"/>
    <n v="31.2486457824707"/>
    <n v="75.698867797851506"/>
    <n v="31.2620944976806"/>
    <n v="75.707710266113196"/>
    <x v="513"/>
    <n v="1.5435128130085001"/>
    <n v="0.15127500104312799"/>
    <x v="503"/>
    <x v="1"/>
    <m/>
    <m/>
    <x v="0"/>
    <x v="0"/>
    <x v="498"/>
    <x v="0"/>
    <x v="0"/>
    <x v="0"/>
    <x v="0"/>
    <x v="8"/>
  </r>
  <r>
    <x v="515"/>
    <x v="188"/>
    <x v="501"/>
    <x v="514"/>
    <x v="65"/>
    <n v="81"/>
    <n v="31.249090194702099"/>
    <n v="75.697525024414006"/>
    <n v="31.260108947753899"/>
    <n v="75.708923339843693"/>
    <x v="514"/>
    <n v="3.5234343202265199"/>
    <n v="1.22591477931997E-2"/>
    <x v="504"/>
    <x v="1"/>
    <m/>
    <m/>
    <x v="306"/>
    <x v="0"/>
    <x v="499"/>
    <x v="0"/>
    <x v="0"/>
    <x v="1"/>
    <x v="0"/>
    <x v="0"/>
  </r>
  <r>
    <x v="516"/>
    <x v="46"/>
    <x v="502"/>
    <x v="515"/>
    <x v="0"/>
    <m/>
    <m/>
    <m/>
    <m/>
    <m/>
    <x v="515"/>
    <n v="0.83434215529628497"/>
    <n v="0.25105840898103698"/>
    <x v="505"/>
    <x v="1"/>
    <m/>
    <m/>
    <x v="0"/>
    <x v="0"/>
    <x v="500"/>
    <x v="0"/>
    <x v="0"/>
    <x v="2"/>
    <x v="0"/>
    <x v="9"/>
  </r>
  <r>
    <x v="517"/>
    <x v="183"/>
    <x v="503"/>
    <x v="516"/>
    <x v="9"/>
    <n v="9"/>
    <n v="31.253026962280199"/>
    <n v="75.694793701171804"/>
    <n v="31.2541790008544"/>
    <n v="75.696327209472599"/>
    <x v="516"/>
    <n v="1.45607320945247"/>
    <n v="9.5318701712609102E-2"/>
    <x v="506"/>
    <x v="1"/>
    <m/>
    <m/>
    <x v="0"/>
    <x v="0"/>
    <x v="501"/>
    <x v="0"/>
    <x v="0"/>
    <x v="0"/>
    <x v="0"/>
    <x v="10"/>
  </r>
  <r>
    <x v="518"/>
    <x v="61"/>
    <x v="504"/>
    <x v="517"/>
    <x v="31"/>
    <n v="2"/>
    <m/>
    <m/>
    <m/>
    <m/>
    <x v="517"/>
    <n v="1.74390792892956"/>
    <n v="0.31382298082787502"/>
    <x v="507"/>
    <x v="1"/>
    <m/>
    <m/>
    <x v="0"/>
    <x v="0"/>
    <x v="502"/>
    <x v="0"/>
    <x v="0"/>
    <x v="0"/>
    <x v="0"/>
    <x v="0"/>
  </r>
  <r>
    <x v="519"/>
    <x v="81"/>
    <x v="505"/>
    <x v="518"/>
    <x v="36"/>
    <n v="43"/>
    <n v="31.251295089721602"/>
    <n v="75.684181213378906"/>
    <n v="31.274950027465799"/>
    <n v="75.706703186035099"/>
    <x v="518"/>
    <n v="4.4274990092724202"/>
    <n v="5.8680596462484899E-2"/>
    <x v="508"/>
    <x v="1"/>
    <m/>
    <m/>
    <x v="307"/>
    <x v="0"/>
    <x v="503"/>
    <x v="0"/>
    <x v="0"/>
    <x v="0"/>
    <x v="0"/>
    <x v="0"/>
  </r>
  <r>
    <x v="520"/>
    <x v="68"/>
    <x v="506"/>
    <x v="519"/>
    <x v="39"/>
    <n v="26"/>
    <n v="31.249036788940401"/>
    <n v="75.697341918945298"/>
    <n v="31.2599372863769"/>
    <n v="75.707527160644503"/>
    <x v="519"/>
    <n v="4.1747574127551701"/>
    <n v="0.25105840898103698"/>
    <x v="509"/>
    <x v="1"/>
    <m/>
    <m/>
    <x v="308"/>
    <x v="0"/>
    <x v="504"/>
    <x v="0"/>
    <x v="0"/>
    <x v="0"/>
    <x v="0"/>
    <x v="0"/>
  </r>
  <r>
    <x v="521"/>
    <x v="176"/>
    <x v="507"/>
    <x v="520"/>
    <x v="22"/>
    <n v="52"/>
    <n v="31.249080657958899"/>
    <n v="75.694816589355398"/>
    <n v="31.260236740112301"/>
    <n v="75.707580566406193"/>
    <x v="520"/>
    <n v="1.46508544771995"/>
    <n v="8.8814323204893394E-2"/>
    <x v="510"/>
    <x v="1"/>
    <m/>
    <m/>
    <x v="309"/>
    <x v="0"/>
    <x v="505"/>
    <x v="0"/>
    <x v="0"/>
    <x v="0"/>
    <x v="0"/>
    <x v="0"/>
  </r>
  <r>
    <x v="522"/>
    <x v="156"/>
    <x v="508"/>
    <x v="521"/>
    <x v="27"/>
    <n v="47"/>
    <n v="31.249080657958899"/>
    <n v="75.695755004882798"/>
    <n v="31.260288238525298"/>
    <n v="75.707527160644503"/>
    <x v="521"/>
    <n v="3.27196357468473"/>
    <n v="0.27325638930213397"/>
    <x v="511"/>
    <x v="1"/>
    <m/>
    <m/>
    <x v="310"/>
    <x v="0"/>
    <x v="506"/>
    <x v="0"/>
    <x v="1"/>
    <x v="0"/>
    <x v="0"/>
    <x v="11"/>
  </r>
  <r>
    <x v="523"/>
    <x v="103"/>
    <x v="509"/>
    <x v="522"/>
    <x v="15"/>
    <n v="34"/>
    <n v="31.248918533325099"/>
    <n v="75.694770812988196"/>
    <n v="31.2552185058593"/>
    <n v="75.705841064453097"/>
    <x v="522"/>
    <n v="2.7333658021859701"/>
    <n v="9.6305831260322994E-2"/>
    <x v="512"/>
    <x v="1"/>
    <m/>
    <m/>
    <x v="0"/>
    <x v="0"/>
    <x v="507"/>
    <x v="0"/>
    <x v="0"/>
    <x v="0"/>
    <x v="0"/>
    <x v="0"/>
  </r>
  <r>
    <x v="524"/>
    <x v="189"/>
    <x v="510"/>
    <x v="523"/>
    <x v="89"/>
    <n v="85"/>
    <n v="31.249107360839801"/>
    <n v="75.694770812988196"/>
    <n v="31.255773544311499"/>
    <n v="75.705413818359304"/>
    <x v="523"/>
    <n v="4.8303243188897698"/>
    <n v="4.5310838983436498E-2"/>
    <x v="513"/>
    <x v="1"/>
    <m/>
    <m/>
    <x v="311"/>
    <x v="0"/>
    <x v="508"/>
    <x v="0"/>
    <x v="0"/>
    <x v="0"/>
    <x v="0"/>
    <x v="12"/>
  </r>
  <r>
    <x v="525"/>
    <x v="105"/>
    <x v="511"/>
    <x v="524"/>
    <x v="14"/>
    <n v="50"/>
    <n v="31.249086380004801"/>
    <n v="75.697601318359304"/>
    <n v="31.260124206542901"/>
    <n v="75.707649230957003"/>
    <x v="524"/>
    <n v="3.8123503321275698"/>
    <n v="0.26151917602191299"/>
    <x v="514"/>
    <x v="1"/>
    <m/>
    <m/>
    <x v="312"/>
    <x v="0"/>
    <x v="509"/>
    <x v="0"/>
    <x v="0"/>
    <x v="3"/>
    <x v="0"/>
    <x v="0"/>
  </r>
  <r>
    <x v="526"/>
    <x v="170"/>
    <x v="512"/>
    <x v="525"/>
    <x v="93"/>
    <n v="51"/>
    <n v="31.249130249023398"/>
    <n v="75.697807312011705"/>
    <n v="31.257947921752901"/>
    <n v="75.706787109375"/>
    <x v="525"/>
    <n v="4.2490435150947903"/>
    <n v="6.8305774295311497E-2"/>
    <x v="515"/>
    <x v="1"/>
    <m/>
    <m/>
    <x v="313"/>
    <x v="0"/>
    <x v="510"/>
    <x v="38"/>
    <x v="0"/>
    <x v="0"/>
    <x v="0"/>
    <x v="13"/>
  </r>
  <r>
    <x v="527"/>
    <x v="101"/>
    <x v="513"/>
    <x v="526"/>
    <x v="35"/>
    <n v="40"/>
    <n v="31.249160766601499"/>
    <n v="75.696762084960895"/>
    <n v="31.260267257690401"/>
    <n v="75.706710815429602"/>
    <x v="526"/>
    <n v="5.1468467819643102"/>
    <n v="0.26151917602191299"/>
    <x v="516"/>
    <x v="1"/>
    <m/>
    <m/>
    <x v="314"/>
    <x v="0"/>
    <x v="511"/>
    <x v="0"/>
    <x v="0"/>
    <x v="0"/>
    <x v="0"/>
    <x v="14"/>
  </r>
  <r>
    <x v="528"/>
    <x v="140"/>
    <x v="514"/>
    <x v="527"/>
    <x v="11"/>
    <n v="41"/>
    <n v="31.2489929199218"/>
    <n v="75.696205139160099"/>
    <n v="31.251567840576101"/>
    <n v="75.704971313476506"/>
    <x v="527"/>
    <n v="1.5327344216938501"/>
    <n v="3.6992604434602797E-2"/>
    <x v="517"/>
    <x v="1"/>
    <m/>
    <m/>
    <x v="315"/>
    <x v="0"/>
    <x v="512"/>
    <x v="39"/>
    <x v="0"/>
    <x v="0"/>
    <x v="0"/>
    <x v="0"/>
  </r>
  <r>
    <x v="529"/>
    <x v="158"/>
    <x v="515"/>
    <x v="528"/>
    <x v="16"/>
    <n v="20"/>
    <n v="31.250591278076101"/>
    <n v="75.701751708984304"/>
    <n v="31.2569866180419"/>
    <n v="75.706565856933594"/>
    <x v="528"/>
    <n v="2.3202219494859899"/>
    <n v="0.27080453552459599"/>
    <x v="518"/>
    <x v="1"/>
    <m/>
    <m/>
    <x v="0"/>
    <x v="0"/>
    <x v="513"/>
    <x v="0"/>
    <x v="0"/>
    <x v="0"/>
    <x v="0"/>
    <x v="15"/>
  </r>
  <r>
    <x v="530"/>
    <x v="190"/>
    <x v="516"/>
    <x v="529"/>
    <x v="11"/>
    <n v="41"/>
    <n v="31.249141693115199"/>
    <n v="75.697883605957003"/>
    <n v="31.2620544433593"/>
    <n v="75.705009460449205"/>
    <x v="529"/>
    <n v="3.3327587945830599"/>
    <n v="0.10782637981695201"/>
    <x v="519"/>
    <x v="1"/>
    <m/>
    <m/>
    <x v="316"/>
    <x v="0"/>
    <x v="514"/>
    <x v="0"/>
    <x v="0"/>
    <x v="0"/>
    <x v="0"/>
    <x v="0"/>
  </r>
  <r>
    <x v="531"/>
    <x v="107"/>
    <x v="517"/>
    <x v="530"/>
    <x v="14"/>
    <n v="50"/>
    <n v="31.249139785766602"/>
    <n v="75.697715759277301"/>
    <n v="31.260498046875"/>
    <n v="75.707473754882798"/>
    <x v="530"/>
    <n v="1.56843899072421"/>
    <n v="0.282440710103666"/>
    <x v="520"/>
    <x v="1"/>
    <m/>
    <m/>
    <x v="0"/>
    <x v="0"/>
    <x v="515"/>
    <x v="0"/>
    <x v="0"/>
    <x v="0"/>
    <x v="0"/>
    <x v="0"/>
  </r>
  <r>
    <x v="532"/>
    <x v="52"/>
    <x v="518"/>
    <x v="531"/>
    <x v="13"/>
    <n v="58"/>
    <n v="31.249078750610298"/>
    <n v="75.697723388671804"/>
    <n v="31.261306762695298"/>
    <n v="75.706092834472599"/>
    <x v="531"/>
    <n v="2.6024415132832899"/>
    <n v="0.25105840898103698"/>
    <x v="521"/>
    <x v="1"/>
    <m/>
    <m/>
    <x v="317"/>
    <x v="0"/>
    <x v="516"/>
    <x v="0"/>
    <x v="0"/>
    <x v="0"/>
    <x v="0"/>
    <x v="0"/>
  </r>
  <r>
    <x v="533"/>
    <x v="141"/>
    <x v="519"/>
    <x v="532"/>
    <x v="26"/>
    <n v="38"/>
    <m/>
    <m/>
    <m/>
    <m/>
    <x v="532"/>
    <n v="1.23611396140903"/>
    <n v="0.266277575750413"/>
    <x v="522"/>
    <x v="1"/>
    <m/>
    <m/>
    <x v="318"/>
    <x v="0"/>
    <x v="517"/>
    <x v="40"/>
    <x v="0"/>
    <x v="0"/>
    <x v="0"/>
    <x v="0"/>
  </r>
  <r>
    <x v="534"/>
    <x v="156"/>
    <x v="520"/>
    <x v="533"/>
    <x v="26"/>
    <n v="38"/>
    <n v="31.2491550445556"/>
    <n v="75.697883605957003"/>
    <n v="31.2594280242919"/>
    <n v="75.706649780273395"/>
    <x v="533"/>
    <n v="2.3497400081011399"/>
    <n v="4.0621002029126801E-2"/>
    <x v="523"/>
    <x v="1"/>
    <m/>
    <m/>
    <x v="319"/>
    <x v="0"/>
    <x v="518"/>
    <x v="0"/>
    <x v="0"/>
    <x v="0"/>
    <x v="0"/>
    <x v="16"/>
  </r>
  <r>
    <x v="535"/>
    <x v="157"/>
    <x v="521"/>
    <x v="534"/>
    <x v="36"/>
    <n v="43"/>
    <n v="31.248151779174801"/>
    <n v="75.696647644042898"/>
    <n v="31.252107620239201"/>
    <n v="75.705070495605398"/>
    <x v="534"/>
    <n v="2.3878494280426001"/>
    <n v="0.15456175411919501"/>
    <x v="524"/>
    <x v="1"/>
    <m/>
    <m/>
    <x v="320"/>
    <x v="0"/>
    <x v="519"/>
    <x v="0"/>
    <x v="0"/>
    <x v="0"/>
    <x v="0"/>
    <x v="0"/>
  </r>
  <r>
    <x v="536"/>
    <x v="157"/>
    <x v="522"/>
    <x v="535"/>
    <x v="14"/>
    <n v="50"/>
    <n v="31.249996185302699"/>
    <n v="75.697547912597599"/>
    <n v="31.2613105773925"/>
    <n v="75.706108093261705"/>
    <x v="535"/>
    <n v="3.7492621324437501"/>
    <n v="0.177762663382457"/>
    <x v="525"/>
    <x v="1"/>
    <m/>
    <m/>
    <x v="321"/>
    <x v="0"/>
    <x v="520"/>
    <x v="0"/>
    <x v="0"/>
    <x v="0"/>
    <x v="0"/>
    <x v="0"/>
  </r>
  <r>
    <x v="537"/>
    <x v="96"/>
    <x v="523"/>
    <x v="536"/>
    <x v="3"/>
    <n v="45"/>
    <n v="31.2490539550781"/>
    <n v="75.697769165039006"/>
    <n v="31.257938385009702"/>
    <n v="75.705108642578097"/>
    <x v="536"/>
    <n v="3.67823596796703"/>
    <n v="3.6476154137914801E-2"/>
    <x v="526"/>
    <x v="1"/>
    <m/>
    <m/>
    <x v="322"/>
    <x v="0"/>
    <x v="521"/>
    <x v="0"/>
    <x v="0"/>
    <x v="0"/>
    <x v="0"/>
    <x v="0"/>
  </r>
  <r>
    <x v="538"/>
    <x v="85"/>
    <x v="524"/>
    <x v="537"/>
    <x v="20"/>
    <n v="33"/>
    <n v="31.249038696288999"/>
    <n v="75.697769165039006"/>
    <n v="31.2591953277587"/>
    <n v="75.7066650390625"/>
    <x v="537"/>
    <n v="3.6597649691689398"/>
    <n v="0.26890384168232101"/>
    <x v="527"/>
    <x v="1"/>
    <m/>
    <m/>
    <x v="323"/>
    <x v="0"/>
    <x v="522"/>
    <x v="0"/>
    <x v="0"/>
    <x v="0"/>
    <x v="0"/>
    <x v="17"/>
  </r>
  <r>
    <x v="539"/>
    <x v="172"/>
    <x v="525"/>
    <x v="538"/>
    <x v="43"/>
    <n v="31"/>
    <n v="31.249280929565401"/>
    <n v="75.695991516113196"/>
    <n v="31.261985778808501"/>
    <n v="75.706764221191406"/>
    <x v="538"/>
    <n v="4.0059957112659399"/>
    <n v="0.26151917602191299"/>
    <x v="528"/>
    <x v="1"/>
    <m/>
    <m/>
    <x v="324"/>
    <x v="0"/>
    <x v="523"/>
    <x v="0"/>
    <x v="0"/>
    <x v="0"/>
    <x v="0"/>
    <x v="0"/>
  </r>
  <r>
    <x v="540"/>
    <x v="191"/>
    <x v="526"/>
    <x v="539"/>
    <x v="67"/>
    <n v="62"/>
    <n v="31.246332168579102"/>
    <n v="75.700942993164006"/>
    <n v="31.255876541137599"/>
    <n v="75.710182189941406"/>
    <x v="539"/>
    <n v="2.34155928940491"/>
    <n v="4.6215510432451E-2"/>
    <x v="529"/>
    <x v="1"/>
    <m/>
    <m/>
    <x v="325"/>
    <x v="0"/>
    <x v="524"/>
    <x v="0"/>
    <x v="0"/>
    <x v="0"/>
    <x v="0"/>
    <x v="0"/>
  </r>
  <r>
    <x v="541"/>
    <x v="192"/>
    <x v="527"/>
    <x v="540"/>
    <x v="36"/>
    <n v="43"/>
    <n v="31.246452331542901"/>
    <n v="75.695442199707003"/>
    <n v="31.260541915893501"/>
    <n v="75.706787109375"/>
    <x v="540"/>
    <n v="3.7139895530976799"/>
    <n v="8.4462735418010707E-2"/>
    <x v="530"/>
    <x v="1"/>
    <m/>
    <m/>
    <x v="326"/>
    <x v="0"/>
    <x v="525"/>
    <x v="0"/>
    <x v="0"/>
    <x v="0"/>
    <x v="0"/>
    <x v="0"/>
  </r>
  <r>
    <x v="542"/>
    <x v="176"/>
    <x v="528"/>
    <x v="541"/>
    <x v="28"/>
    <n v="74"/>
    <n v="31.249010086059499"/>
    <n v="75.693206787109304"/>
    <n v="31.261814117431602"/>
    <n v="75.706779479980398"/>
    <x v="541"/>
    <n v="4.2306689769916703"/>
    <n v="5.4254695890395502E-3"/>
    <x v="531"/>
    <x v="1"/>
    <m/>
    <m/>
    <x v="327"/>
    <x v="0"/>
    <x v="526"/>
    <x v="0"/>
    <x v="0"/>
    <x v="0"/>
    <x v="0"/>
    <x v="0"/>
  </r>
  <r>
    <x v="543"/>
    <x v="112"/>
    <x v="529"/>
    <x v="542"/>
    <x v="19"/>
    <n v="39"/>
    <n v="31.249082565307599"/>
    <n v="75.696685791015597"/>
    <n v="31.261013031005799"/>
    <n v="75.705825805664006"/>
    <x v="542"/>
    <n v="4.5520833123218702"/>
    <n v="7.0750636201099698E-2"/>
    <x v="532"/>
    <x v="1"/>
    <m/>
    <m/>
    <x v="328"/>
    <x v="0"/>
    <x v="527"/>
    <x v="0"/>
    <x v="0"/>
    <x v="0"/>
    <x v="0"/>
    <x v="0"/>
  </r>
  <r>
    <x v="544"/>
    <x v="78"/>
    <x v="530"/>
    <x v="543"/>
    <x v="59"/>
    <n v="48"/>
    <n v="31.249111175537099"/>
    <n v="75.696762084960895"/>
    <n v="31.256343841552699"/>
    <n v="75.705802917480398"/>
    <x v="543"/>
    <n v="2.2378525810904799"/>
    <n v="0.15334213483474801"/>
    <x v="533"/>
    <x v="1"/>
    <m/>
    <m/>
    <x v="329"/>
    <x v="0"/>
    <x v="528"/>
    <x v="0"/>
    <x v="0"/>
    <x v="0"/>
    <x v="0"/>
    <x v="0"/>
  </r>
  <r>
    <x v="545"/>
    <x v="38"/>
    <x v="531"/>
    <x v="544"/>
    <x v="62"/>
    <n v="23"/>
    <m/>
    <m/>
    <m/>
    <m/>
    <x v="544"/>
    <n v="1.3226961646153601"/>
    <n v="0.245875748135442"/>
    <x v="534"/>
    <x v="1"/>
    <m/>
    <m/>
    <x v="330"/>
    <x v="0"/>
    <x v="529"/>
    <x v="0"/>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4" firstHeaderRow="0" firstDataRow="1" firstDataCol="0"/>
  <pivotFields count="27">
    <pivotField numFmtId="14" showAll="0">
      <items count="15">
        <item x="0"/>
        <item x="1"/>
        <item x="2"/>
        <item x="3"/>
        <item x="4"/>
        <item x="5"/>
        <item x="6"/>
        <item x="7"/>
        <item x="8"/>
        <item x="9"/>
        <item x="10"/>
        <item x="11"/>
        <item x="12"/>
        <item x="13"/>
        <item t="default"/>
      </items>
    </pivotField>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dataField="1" showAll="0">
      <items count="536">
        <item x="81"/>
        <item x="148"/>
        <item x="412"/>
        <item x="236"/>
        <item x="142"/>
        <item x="346"/>
        <item x="0"/>
        <item x="400"/>
        <item x="71"/>
        <item x="374"/>
        <item x="391"/>
        <item x="216"/>
        <item x="415"/>
        <item x="49"/>
        <item x="88"/>
        <item x="74"/>
        <item x="73"/>
        <item x="89"/>
        <item x="85"/>
        <item x="421"/>
        <item x="185"/>
        <item x="221"/>
        <item x="291"/>
        <item x="9"/>
        <item x="209"/>
        <item x="64"/>
        <item x="246"/>
        <item x="213"/>
        <item x="199"/>
        <item x="243"/>
        <item x="210"/>
        <item x="218"/>
        <item x="405"/>
        <item x="84"/>
        <item x="219"/>
        <item x="122"/>
        <item x="67"/>
        <item x="2"/>
        <item x="406"/>
        <item x="7"/>
        <item x="234"/>
        <item x="240"/>
        <item x="430"/>
        <item x="136"/>
        <item x="21"/>
        <item x="109"/>
        <item x="205"/>
        <item x="239"/>
        <item x="153"/>
        <item x="65"/>
        <item x="82"/>
        <item x="13"/>
        <item x="43"/>
        <item x="214"/>
        <item x="80"/>
        <item x="233"/>
        <item x="75"/>
        <item x="284"/>
        <item x="271"/>
        <item x="76"/>
        <item x="481"/>
        <item x="507"/>
        <item x="358"/>
        <item x="362"/>
        <item x="266"/>
        <item x="408"/>
        <item x="77"/>
        <item x="427"/>
        <item x="500"/>
        <item x="428"/>
        <item x="143"/>
        <item x="281"/>
        <item x="83"/>
        <item x="24"/>
        <item x="42"/>
        <item x="378"/>
        <item x="206"/>
        <item x="444"/>
        <item x="280"/>
        <item x="522"/>
        <item x="534"/>
        <item x="245"/>
        <item x="128"/>
        <item x="86"/>
        <item x="275"/>
        <item x="56"/>
        <item x="247"/>
        <item x="68"/>
        <item x="276"/>
        <item x="139"/>
        <item x="244"/>
        <item x="453"/>
        <item x="79"/>
        <item x="70"/>
        <item x="348"/>
        <item x="256"/>
        <item x="55"/>
        <item x="388"/>
        <item x="309"/>
        <item x="72"/>
        <item x="260"/>
        <item x="98"/>
        <item x="457"/>
        <item x="505"/>
        <item x="3"/>
        <item x="138"/>
        <item x="278"/>
        <item x="248"/>
        <item x="393"/>
        <item x="435"/>
        <item x="414"/>
        <item x="268"/>
        <item x="230"/>
        <item x="184"/>
        <item x="57"/>
        <item x="16"/>
        <item x="147"/>
        <item x="162"/>
        <item x="277"/>
        <item x="14"/>
        <item x="501"/>
        <item x="322"/>
        <item x="273"/>
        <item x="316"/>
        <item x="426"/>
        <item x="229"/>
        <item x="17"/>
        <item x="420"/>
        <item x="107"/>
        <item x="257"/>
        <item x="417"/>
        <item x="395"/>
        <item x="356"/>
        <item x="47"/>
        <item x="41"/>
        <item x="104"/>
        <item x="223"/>
        <item x="474"/>
        <item x="255"/>
        <item x="92"/>
        <item x="217"/>
        <item x="212"/>
        <item x="225"/>
        <item x="432"/>
        <item x="183"/>
        <item x="164"/>
        <item x="364"/>
        <item x="90"/>
        <item x="413"/>
        <item x="506"/>
        <item x="201"/>
        <item x="145"/>
        <item x="499"/>
        <item x="62"/>
        <item x="394"/>
        <item x="464"/>
        <item x="242"/>
        <item x="386"/>
        <item x="119"/>
        <item x="472"/>
        <item x="295"/>
        <item x="344"/>
        <item x="409"/>
        <item x="44"/>
        <item x="69"/>
        <item x="207"/>
        <item x="4"/>
        <item x="22"/>
        <item x="63"/>
        <item x="25"/>
        <item x="100"/>
        <item x="336"/>
        <item x="54"/>
        <item x="10"/>
        <item x="116"/>
        <item x="299"/>
        <item x="52"/>
        <item x="249"/>
        <item x="66"/>
        <item x="48"/>
        <item x="196"/>
        <item x="533"/>
        <item x="220"/>
        <item x="337"/>
        <item x="91"/>
        <item x="253"/>
        <item x="106"/>
        <item x="407"/>
        <item x="53"/>
        <item x="232"/>
        <item x="208"/>
        <item x="438"/>
        <item x="403"/>
        <item x="371"/>
        <item x="36"/>
        <item x="117"/>
        <item x="359"/>
        <item x="168"/>
        <item x="290"/>
        <item x="392"/>
        <item x="423"/>
        <item x="58"/>
        <item x="11"/>
        <item x="40"/>
        <item x="410"/>
        <item x="93"/>
        <item x="160"/>
        <item x="442"/>
        <item x="307"/>
        <item x="350"/>
        <item x="450"/>
        <item x="509"/>
        <item x="376"/>
        <item x="20"/>
        <item x="250"/>
        <item x="18"/>
        <item x="193"/>
        <item x="490"/>
        <item x="51"/>
        <item x="418"/>
        <item x="419"/>
        <item x="26"/>
        <item x="265"/>
        <item x="516"/>
        <item x="367"/>
        <item x="137"/>
        <item x="87"/>
        <item x="387"/>
        <item x="152"/>
        <item x="372"/>
        <item x="315"/>
        <item x="361"/>
        <item x="389"/>
        <item x="118"/>
        <item x="402"/>
        <item x="224"/>
        <item x="333"/>
        <item x="448"/>
        <item x="215"/>
        <item x="39"/>
        <item x="283"/>
        <item x="441"/>
        <item x="368"/>
        <item x="60"/>
        <item x="458"/>
        <item x="352"/>
        <item x="108"/>
        <item x="434"/>
        <item x="449"/>
        <item x="59"/>
        <item x="237"/>
        <item x="127"/>
        <item x="459"/>
        <item x="411"/>
        <item x="319"/>
        <item x="353"/>
        <item x="527"/>
        <item x="511"/>
        <item x="470"/>
        <item x="226"/>
        <item x="140"/>
        <item x="279"/>
        <item x="123"/>
        <item x="456"/>
        <item x="101"/>
        <item x="238"/>
        <item x="211"/>
        <item x="465"/>
        <item x="120"/>
        <item x="37"/>
        <item x="1"/>
        <item x="19"/>
        <item x="132"/>
        <item x="477"/>
        <item x="317"/>
        <item x="398"/>
        <item x="95"/>
        <item x="192"/>
        <item x="304"/>
        <item x="154"/>
        <item x="146"/>
        <item x="5"/>
        <item x="50"/>
        <item x="27"/>
        <item x="369"/>
        <item x="203"/>
        <item x="443"/>
        <item x="131"/>
        <item x="188"/>
        <item x="433"/>
        <item x="125"/>
        <item x="29"/>
        <item x="491"/>
        <item x="151"/>
        <item x="23"/>
        <item x="373"/>
        <item x="340"/>
        <item x="379"/>
        <item x="171"/>
        <item x="382"/>
        <item x="190"/>
        <item x="231"/>
        <item x="397"/>
        <item x="493"/>
        <item x="445"/>
        <item x="126"/>
        <item x="343"/>
        <item x="303"/>
        <item x="416"/>
        <item x="523"/>
        <item x="166"/>
        <item x="437"/>
        <item x="270"/>
        <item x="526"/>
        <item x="339"/>
        <item x="61"/>
        <item x="110"/>
        <item x="517"/>
        <item x="94"/>
        <item x="274"/>
        <item x="167"/>
        <item x="124"/>
        <item x="332"/>
        <item x="35"/>
        <item x="446"/>
        <item x="326"/>
        <item x="197"/>
        <item x="46"/>
        <item x="334"/>
        <item x="487"/>
        <item x="262"/>
        <item x="198"/>
        <item x="130"/>
        <item x="302"/>
        <item x="425"/>
        <item x="170"/>
        <item x="189"/>
        <item x="365"/>
        <item x="482"/>
        <item x="466"/>
        <item x="158"/>
        <item x="263"/>
        <item x="99"/>
        <item x="514"/>
        <item x="424"/>
        <item x="241"/>
        <item x="301"/>
        <item x="422"/>
        <item x="195"/>
        <item x="469"/>
        <item x="313"/>
        <item x="451"/>
        <item x="341"/>
        <item x="521"/>
        <item x="172"/>
        <item x="528"/>
        <item x="323"/>
        <item x="338"/>
        <item x="495"/>
        <item x="375"/>
        <item x="467"/>
        <item x="360"/>
        <item x="267"/>
        <item x="235"/>
        <item x="272"/>
        <item x="254"/>
        <item x="159"/>
        <item x="345"/>
        <item x="129"/>
        <item x="305"/>
        <item x="200"/>
        <item x="370"/>
        <item x="114"/>
        <item x="150"/>
        <item x="452"/>
        <item x="497"/>
        <item x="134"/>
        <item x="471"/>
        <item x="161"/>
        <item x="252"/>
        <item x="463"/>
        <item x="484"/>
        <item x="293"/>
        <item x="311"/>
        <item x="297"/>
        <item x="228"/>
        <item x="45"/>
        <item x="157"/>
        <item x="486"/>
        <item x="186"/>
        <item x="97"/>
        <item x="351"/>
        <item x="390"/>
        <item x="113"/>
        <item x="105"/>
        <item x="377"/>
        <item x="329"/>
        <item x="261"/>
        <item x="294"/>
        <item x="306"/>
        <item x="38"/>
        <item x="321"/>
        <item x="287"/>
        <item x="455"/>
        <item x="489"/>
        <item x="12"/>
        <item x="347"/>
        <item x="431"/>
        <item x="454"/>
        <item x="258"/>
        <item x="292"/>
        <item x="282"/>
        <item x="156"/>
        <item x="479"/>
        <item x="363"/>
        <item x="473"/>
        <item x="135"/>
        <item x="111"/>
        <item x="515"/>
        <item x="508"/>
        <item x="519"/>
        <item x="525"/>
        <item x="518"/>
        <item x="328"/>
        <item x="366"/>
        <item x="194"/>
        <item x="133"/>
        <item x="520"/>
        <item x="112"/>
        <item x="524"/>
        <item x="440"/>
        <item x="259"/>
        <item x="401"/>
        <item x="380"/>
        <item x="436"/>
        <item x="28"/>
        <item x="335"/>
        <item x="468"/>
        <item x="342"/>
        <item x="480"/>
        <item x="502"/>
        <item x="175"/>
        <item x="165"/>
        <item x="399"/>
        <item x="300"/>
        <item x="155"/>
        <item x="298"/>
        <item x="121"/>
        <item x="532"/>
        <item x="149"/>
        <item x="331"/>
        <item x="296"/>
        <item x="324"/>
        <item x="483"/>
        <item x="204"/>
        <item x="447"/>
        <item x="531"/>
        <item x="496"/>
        <item x="349"/>
        <item x="174"/>
        <item x="187"/>
        <item x="264"/>
        <item x="529"/>
        <item x="357"/>
        <item x="512"/>
        <item x="312"/>
        <item x="144"/>
        <item x="320"/>
        <item x="485"/>
        <item x="488"/>
        <item x="15"/>
        <item x="462"/>
        <item x="327"/>
        <item x="8"/>
        <item x="404"/>
        <item x="176"/>
        <item x="513"/>
        <item x="169"/>
        <item x="178"/>
        <item x="177"/>
        <item x="478"/>
        <item x="31"/>
        <item x="251"/>
        <item x="318"/>
        <item x="314"/>
        <item x="504"/>
        <item x="476"/>
        <item x="383"/>
        <item x="384"/>
        <item x="510"/>
        <item x="354"/>
        <item x="286"/>
        <item x="269"/>
        <item x="325"/>
        <item x="503"/>
        <item x="494"/>
        <item x="530"/>
        <item x="78"/>
        <item x="227"/>
        <item x="163"/>
        <item x="385"/>
        <item x="179"/>
        <item x="460"/>
        <item x="141"/>
        <item x="330"/>
        <item x="191"/>
        <item x="285"/>
        <item x="498"/>
        <item x="202"/>
        <item x="288"/>
        <item x="396"/>
        <item x="355"/>
        <item x="96"/>
        <item x="461"/>
        <item x="381"/>
        <item x="308"/>
        <item x="173"/>
        <item x="310"/>
        <item x="34"/>
        <item x="475"/>
        <item x="289"/>
        <item x="492"/>
        <item x="103"/>
        <item x="222"/>
        <item x="439"/>
        <item x="115"/>
        <item x="6"/>
        <item x="429"/>
        <item x="32"/>
        <item x="102"/>
        <item x="30"/>
        <item x="33"/>
        <item x="181"/>
        <item x="180"/>
        <item x="182"/>
        <item t="default"/>
      </items>
    </pivotField>
    <pivotField showAll="0"/>
    <pivotField showAll="0"/>
    <pivotField showAll="0"/>
    <pivotField showAll="0">
      <items count="332">
        <item x="139"/>
        <item x="261"/>
        <item x="157"/>
        <item x="191"/>
        <item x="231"/>
        <item x="276"/>
        <item x="117"/>
        <item x="257"/>
        <item x="288"/>
        <item x="165"/>
        <item x="216"/>
        <item x="249"/>
        <item x="243"/>
        <item x="99"/>
        <item x="269"/>
        <item x="286"/>
        <item x="198"/>
        <item x="226"/>
        <item x="298"/>
        <item x="15"/>
        <item x="186"/>
        <item x="80"/>
        <item x="141"/>
        <item x="218"/>
        <item x="133"/>
        <item x="91"/>
        <item x="156"/>
        <item x="292"/>
        <item x="120"/>
        <item x="24"/>
        <item x="58"/>
        <item x="115"/>
        <item x="36"/>
        <item x="73"/>
        <item x="121"/>
        <item x="258"/>
        <item x="95"/>
        <item x="296"/>
        <item x="93"/>
        <item x="71"/>
        <item x="146"/>
        <item x="308"/>
        <item x="158"/>
        <item x="228"/>
        <item x="132"/>
        <item x="118"/>
        <item x="289"/>
        <item x="127"/>
        <item x="94"/>
        <item x="142"/>
        <item x="267"/>
        <item x="277"/>
        <item x="78"/>
        <item x="322"/>
        <item x="211"/>
        <item x="45"/>
        <item x="178"/>
        <item x="281"/>
        <item x="181"/>
        <item x="300"/>
        <item x="282"/>
        <item x="205"/>
        <item x="232"/>
        <item x="275"/>
        <item x="241"/>
        <item x="77"/>
        <item x="301"/>
        <item x="111"/>
        <item x="173"/>
        <item x="207"/>
        <item x="110"/>
        <item x="253"/>
        <item x="260"/>
        <item x="7"/>
        <item x="27"/>
        <item x="294"/>
        <item x="79"/>
        <item x="113"/>
        <item x="154"/>
        <item x="76"/>
        <item x="283"/>
        <item x="38"/>
        <item x="239"/>
        <item x="136"/>
        <item x="176"/>
        <item x="184"/>
        <item x="112"/>
        <item x="316"/>
        <item x="248"/>
        <item x="51"/>
        <item x="330"/>
        <item x="172"/>
        <item x="265"/>
        <item x="102"/>
        <item x="278"/>
        <item x="109"/>
        <item x="326"/>
        <item x="49"/>
        <item x="323"/>
        <item x="124"/>
        <item x="83"/>
        <item x="23"/>
        <item x="309"/>
        <item x="280"/>
        <item x="242"/>
        <item x="119"/>
        <item x="72"/>
        <item x="293"/>
        <item x="46"/>
        <item x="34"/>
        <item x="206"/>
        <item x="87"/>
        <item x="217"/>
        <item x="224"/>
        <item x="53"/>
        <item x="194"/>
        <item x="55"/>
        <item x="28"/>
        <item x="59"/>
        <item x="145"/>
        <item x="98"/>
        <item x="305"/>
        <item x="18"/>
        <item x="104"/>
        <item x="274"/>
        <item x="81"/>
        <item x="252"/>
        <item x="100"/>
        <item x="2"/>
        <item x="199"/>
        <item x="125"/>
        <item x="67"/>
        <item x="11"/>
        <item x="30"/>
        <item x="20"/>
        <item x="279"/>
        <item x="183"/>
        <item x="266"/>
        <item x="270"/>
        <item x="128"/>
        <item x="66"/>
        <item x="129"/>
        <item x="101"/>
        <item x="97"/>
        <item x="182"/>
        <item x="240"/>
        <item x="285"/>
        <item x="213"/>
        <item x="328"/>
        <item x="29"/>
        <item x="14"/>
        <item x="54"/>
        <item x="307"/>
        <item x="88"/>
        <item x="235"/>
        <item x="105"/>
        <item x="223"/>
        <item x="324"/>
        <item x="3"/>
        <item x="131"/>
        <item x="21"/>
        <item x="137"/>
        <item x="50"/>
        <item x="317"/>
        <item x="246"/>
        <item x="214"/>
        <item x="92"/>
        <item x="302"/>
        <item x="319"/>
        <item x="130"/>
        <item x="303"/>
        <item x="171"/>
        <item x="174"/>
        <item x="42"/>
        <item x="220"/>
        <item x="299"/>
        <item x="190"/>
        <item x="35"/>
        <item x="6"/>
        <item x="140"/>
        <item x="107"/>
        <item x="306"/>
        <item x="126"/>
        <item x="40"/>
        <item x="155"/>
        <item x="238"/>
        <item x="31"/>
        <item x="297"/>
        <item x="287"/>
        <item x="250"/>
        <item x="209"/>
        <item x="244"/>
        <item x="284"/>
        <item x="10"/>
        <item x="259"/>
        <item x="210"/>
        <item x="312"/>
        <item x="138"/>
        <item x="273"/>
        <item x="17"/>
        <item x="143"/>
        <item x="43"/>
        <item x="295"/>
        <item x="96"/>
        <item x="164"/>
        <item x="48"/>
        <item x="163"/>
        <item x="1"/>
        <item x="271"/>
        <item x="179"/>
        <item x="203"/>
        <item x="272"/>
        <item x="247"/>
        <item x="313"/>
        <item x="162"/>
        <item x="237"/>
        <item x="255"/>
        <item x="315"/>
        <item x="108"/>
        <item x="61"/>
        <item x="320"/>
        <item x="52"/>
        <item x="65"/>
        <item x="135"/>
        <item x="262"/>
        <item x="185"/>
        <item x="189"/>
        <item x="187"/>
        <item x="175"/>
        <item x="114"/>
        <item x="318"/>
        <item x="268"/>
        <item x="106"/>
        <item x="304"/>
        <item x="197"/>
        <item x="227"/>
        <item x="56"/>
        <item x="47"/>
        <item x="321"/>
        <item x="74"/>
        <item x="236"/>
        <item x="89"/>
        <item x="180"/>
        <item x="147"/>
        <item x="222"/>
        <item x="149"/>
        <item x="4"/>
        <item x="225"/>
        <item x="16"/>
        <item x="264"/>
        <item x="170"/>
        <item x="327"/>
        <item x="290"/>
        <item x="9"/>
        <item x="13"/>
        <item x="196"/>
        <item x="314"/>
        <item x="41"/>
        <item x="215"/>
        <item x="325"/>
        <item x="167"/>
        <item x="310"/>
        <item x="68"/>
        <item x="5"/>
        <item x="221"/>
        <item x="245"/>
        <item x="291"/>
        <item x="86"/>
        <item x="75"/>
        <item x="201"/>
        <item x="234"/>
        <item x="168"/>
        <item x="177"/>
        <item x="229"/>
        <item x="233"/>
        <item x="103"/>
        <item x="160"/>
        <item x="70"/>
        <item x="12"/>
        <item x="329"/>
        <item x="123"/>
        <item x="116"/>
        <item x="219"/>
        <item x="85"/>
        <item x="90"/>
        <item x="263"/>
        <item x="122"/>
        <item x="254"/>
        <item x="144"/>
        <item x="82"/>
        <item x="33"/>
        <item x="8"/>
        <item x="195"/>
        <item x="39"/>
        <item x="230"/>
        <item x="62"/>
        <item x="60"/>
        <item x="69"/>
        <item x="311"/>
        <item x="192"/>
        <item x="32"/>
        <item x="188"/>
        <item x="166"/>
        <item x="84"/>
        <item x="37"/>
        <item x="19"/>
        <item x="64"/>
        <item x="25"/>
        <item x="22"/>
        <item x="208"/>
        <item x="161"/>
        <item x="212"/>
        <item x="256"/>
        <item x="251"/>
        <item x="202"/>
        <item x="134"/>
        <item x="152"/>
        <item x="200"/>
        <item x="153"/>
        <item x="204"/>
        <item x="44"/>
        <item x="169"/>
        <item x="193"/>
        <item x="159"/>
        <item x="63"/>
        <item x="150"/>
        <item x="148"/>
        <item x="26"/>
        <item x="151"/>
        <item x="57"/>
        <item x="0"/>
        <item t="default"/>
      </items>
    </pivotField>
    <pivotField showAll="0">
      <items count="6">
        <item x="4"/>
        <item x="3"/>
        <item x="2"/>
        <item x="1"/>
        <item x="0"/>
        <item t="default"/>
      </items>
    </pivotField>
    <pivotField showAll="0">
      <items count="531">
        <item x="63"/>
        <item x="216"/>
        <item x="241"/>
        <item x="238"/>
        <item x="9"/>
        <item x="138"/>
        <item x="368"/>
        <item x="411"/>
        <item x="474"/>
        <item x="229"/>
        <item x="118"/>
        <item x="49"/>
        <item x="500"/>
        <item x="78"/>
        <item x="210"/>
        <item x="213"/>
        <item x="398"/>
        <item x="212"/>
        <item x="67"/>
        <item x="420"/>
        <item x="231"/>
        <item x="207"/>
        <item x="43"/>
        <item x="286"/>
        <item x="79"/>
        <item x="393"/>
        <item x="203"/>
        <item x="148"/>
        <item x="437"/>
        <item x="204"/>
        <item x="73"/>
        <item x="81"/>
        <item x="517"/>
        <item x="208"/>
        <item x="69"/>
        <item x="279"/>
        <item x="234"/>
        <item x="66"/>
        <item x="352"/>
        <item x="104"/>
        <item x="64"/>
        <item x="139"/>
        <item x="7"/>
        <item x="193"/>
        <item x="419"/>
        <item x="124"/>
        <item x="235"/>
        <item x="74"/>
        <item x="275"/>
        <item x="261"/>
        <item x="446"/>
        <item x="70"/>
        <item x="496"/>
        <item x="263"/>
        <item x="399"/>
        <item x="255"/>
        <item x="72"/>
        <item x="268"/>
        <item x="132"/>
        <item x="372"/>
        <item x="16"/>
        <item x="529"/>
        <item x="228"/>
        <item x="356"/>
        <item x="42"/>
        <item x="224"/>
        <item x="3"/>
        <item x="422"/>
        <item x="135"/>
        <item x="428"/>
        <item x="24"/>
        <item x="2"/>
        <item x="342"/>
        <item x="56"/>
        <item x="157"/>
        <item x="240"/>
        <item x="92"/>
        <item x="414"/>
        <item x="450"/>
        <item x="80"/>
        <item x="405"/>
        <item x="199"/>
        <item x="495"/>
        <item x="266"/>
        <item x="270"/>
        <item x="386"/>
        <item x="200"/>
        <item x="502"/>
        <item x="272"/>
        <item x="251"/>
        <item x="418"/>
        <item x="225"/>
        <item x="76"/>
        <item x="55"/>
        <item x="71"/>
        <item x="83"/>
        <item x="304"/>
        <item x="21"/>
        <item x="250"/>
        <item x="243"/>
        <item x="382"/>
        <item x="271"/>
        <item x="134"/>
        <item x="311"/>
        <item x="404"/>
        <item x="125"/>
        <item x="239"/>
        <item x="115"/>
        <item x="388"/>
        <item x="457"/>
        <item x="143"/>
        <item x="86"/>
        <item x="396"/>
        <item x="13"/>
        <item x="98"/>
        <item x="242"/>
        <item x="359"/>
        <item x="441"/>
        <item x="178"/>
        <item x="195"/>
        <item x="25"/>
        <item x="84"/>
        <item x="290"/>
        <item x="179"/>
        <item x="332"/>
        <item x="511"/>
        <item x="215"/>
        <item x="407"/>
        <item x="159"/>
        <item x="154"/>
        <item x="94"/>
        <item x="10"/>
        <item x="14"/>
        <item x="365"/>
        <item x="273"/>
        <item x="431"/>
        <item x="494"/>
        <item x="4"/>
        <item x="401"/>
        <item x="350"/>
        <item x="257"/>
        <item x="294"/>
        <item x="410"/>
        <item x="252"/>
        <item x="218"/>
        <item x="101"/>
        <item x="276"/>
        <item x="44"/>
        <item x="417"/>
        <item x="47"/>
        <item x="244"/>
        <item x="424"/>
        <item x="17"/>
        <item x="22"/>
        <item x="344"/>
        <item x="278"/>
        <item x="220"/>
        <item x="141"/>
        <item x="201"/>
        <item x="41"/>
        <item x="237"/>
        <item x="465"/>
        <item x="68"/>
        <item x="61"/>
        <item x="85"/>
        <item x="435"/>
        <item x="108"/>
        <item x="504"/>
        <item x="65"/>
        <item x="260"/>
        <item x="53"/>
        <item x="385"/>
        <item x="190"/>
        <item x="402"/>
        <item x="245"/>
        <item x="20"/>
        <item x="339"/>
        <item x="113"/>
        <item x="328"/>
        <item x="387"/>
        <item x="123"/>
        <item x="100"/>
        <item x="192"/>
        <item x="232"/>
        <item x="52"/>
        <item x="361"/>
        <item x="413"/>
        <item x="163"/>
        <item x="467"/>
        <item x="114"/>
        <item x="403"/>
        <item x="400"/>
        <item x="274"/>
        <item x="353"/>
        <item x="380"/>
        <item x="103"/>
        <item x="227"/>
        <item x="381"/>
        <item x="442"/>
        <item x="38"/>
        <item x="89"/>
        <item x="26"/>
        <item x="371"/>
        <item x="54"/>
        <item x="11"/>
        <item x="18"/>
        <item x="434"/>
        <item x="142"/>
        <item x="317"/>
        <item x="443"/>
        <item x="119"/>
        <item x="211"/>
        <item x="50"/>
        <item x="214"/>
        <item x="155"/>
        <item x="39"/>
        <item x="258"/>
        <item x="1"/>
        <item x="528"/>
        <item x="221"/>
        <item x="248"/>
        <item x="51"/>
        <item x="390"/>
        <item x="355"/>
        <item x="485"/>
        <item x="463"/>
        <item x="112"/>
        <item x="82"/>
        <item x="127"/>
        <item x="436"/>
        <item x="102"/>
        <item x="439"/>
        <item x="59"/>
        <item x="370"/>
        <item x="57"/>
        <item x="408"/>
        <item x="470"/>
        <item x="209"/>
        <item x="184"/>
        <item x="219"/>
        <item x="95"/>
        <item x="91"/>
        <item x="331"/>
        <item x="166"/>
        <item x="395"/>
        <item x="170"/>
        <item x="133"/>
        <item x="285"/>
        <item x="145"/>
        <item x="366"/>
        <item x="501"/>
        <item x="383"/>
        <item x="147"/>
        <item x="488"/>
        <item x="416"/>
        <item x="206"/>
        <item x="476"/>
        <item x="302"/>
        <item x="152"/>
        <item x="409"/>
        <item x="136"/>
        <item x="187"/>
        <item x="233"/>
        <item x="475"/>
        <item x="521"/>
        <item x="202"/>
        <item x="40"/>
        <item x="451"/>
        <item x="346"/>
        <item x="93"/>
        <item x="88"/>
        <item x="77"/>
        <item x="36"/>
        <item x="358"/>
        <item x="347"/>
        <item x="335"/>
        <item x="87"/>
        <item x="458"/>
        <item x="391"/>
        <item x="334"/>
        <item x="122"/>
        <item x="456"/>
        <item x="19"/>
        <item x="362"/>
        <item x="171"/>
        <item x="338"/>
        <item x="29"/>
        <item x="37"/>
        <item x="522"/>
        <item x="182"/>
        <item x="312"/>
        <item x="48"/>
        <item x="153"/>
        <item x="369"/>
        <item x="373"/>
        <item x="510"/>
        <item x="299"/>
        <item x="452"/>
        <item x="298"/>
        <item x="376"/>
        <item x="253"/>
        <item x="197"/>
        <item x="321"/>
        <item x="449"/>
        <item x="415"/>
        <item x="327"/>
        <item x="27"/>
        <item x="287"/>
        <item x="121"/>
        <item x="120"/>
        <item x="518"/>
        <item x="512"/>
        <item x="384"/>
        <item x="367"/>
        <item x="167"/>
        <item x="205"/>
        <item x="406"/>
        <item x="300"/>
        <item x="363"/>
        <item x="318"/>
        <item x="249"/>
        <item x="336"/>
        <item x="58"/>
        <item x="296"/>
        <item x="186"/>
        <item x="172"/>
        <item x="486"/>
        <item x="8"/>
        <item x="509"/>
        <item x="462"/>
        <item x="329"/>
        <item x="247"/>
        <item x="301"/>
        <item x="256"/>
        <item x="506"/>
        <item x="433"/>
        <item x="310"/>
        <item x="128"/>
        <item x="460"/>
        <item x="236"/>
        <item x="514"/>
        <item x="149"/>
        <item x="326"/>
        <item x="146"/>
        <item x="341"/>
        <item x="131"/>
        <item x="116"/>
        <item x="357"/>
        <item x="226"/>
        <item x="425"/>
        <item x="394"/>
        <item x="472"/>
        <item x="430"/>
        <item x="254"/>
        <item x="46"/>
        <item x="523"/>
        <item x="466"/>
        <item x="314"/>
        <item x="28"/>
        <item x="31"/>
        <item x="5"/>
        <item x="183"/>
        <item x="479"/>
        <item x="291"/>
        <item x="277"/>
        <item x="481"/>
        <item x="438"/>
        <item x="516"/>
        <item x="99"/>
        <item x="455"/>
        <item x="130"/>
        <item x="262"/>
        <item x="519"/>
        <item x="515"/>
        <item x="513"/>
        <item x="230"/>
        <item x="126"/>
        <item x="265"/>
        <item x="364"/>
        <item x="461"/>
        <item x="189"/>
        <item x="35"/>
        <item x="269"/>
        <item x="333"/>
        <item x="480"/>
        <item x="412"/>
        <item x="45"/>
        <item x="105"/>
        <item x="308"/>
        <item x="459"/>
        <item x="478"/>
        <item x="23"/>
        <item x="323"/>
        <item x="297"/>
        <item x="330"/>
        <item x="60"/>
        <item x="62"/>
        <item x="292"/>
        <item x="12"/>
        <item x="483"/>
        <item x="150"/>
        <item x="426"/>
        <item x="293"/>
        <item x="444"/>
        <item x="324"/>
        <item x="129"/>
        <item x="448"/>
        <item x="288"/>
        <item x="191"/>
        <item x="282"/>
        <item x="289"/>
        <item x="340"/>
        <item x="397"/>
        <item x="306"/>
        <item x="490"/>
        <item x="162"/>
        <item x="497"/>
        <item x="354"/>
        <item x="165"/>
        <item x="315"/>
        <item x="267"/>
        <item x="464"/>
        <item x="520"/>
        <item x="445"/>
        <item x="180"/>
        <item x="447"/>
        <item x="160"/>
        <item x="316"/>
        <item x="429"/>
        <item x="337"/>
        <item x="392"/>
        <item x="307"/>
        <item x="109"/>
        <item x="423"/>
        <item x="161"/>
        <item x="295"/>
        <item x="374"/>
        <item x="110"/>
        <item x="156"/>
        <item x="492"/>
        <item x="348"/>
        <item x="194"/>
        <item x="471"/>
        <item x="259"/>
        <item x="360"/>
        <item x="351"/>
        <item x="343"/>
        <item x="503"/>
        <item x="188"/>
        <item x="117"/>
        <item x="151"/>
        <item x="473"/>
        <item x="106"/>
        <item x="440"/>
        <item x="144"/>
        <item x="322"/>
        <item x="482"/>
        <item x="223"/>
        <item x="309"/>
        <item x="427"/>
        <item x="489"/>
        <item x="345"/>
        <item x="319"/>
        <item x="173"/>
        <item x="164"/>
        <item x="469"/>
        <item x="505"/>
        <item x="107"/>
        <item x="140"/>
        <item x="325"/>
        <item x="484"/>
        <item x="508"/>
        <item x="313"/>
        <item x="15"/>
        <item x="174"/>
        <item x="477"/>
        <item x="181"/>
        <item x="377"/>
        <item x="198"/>
        <item x="527"/>
        <item x="169"/>
        <item x="75"/>
        <item x="507"/>
        <item x="264"/>
        <item x="491"/>
        <item x="499"/>
        <item x="526"/>
        <item x="222"/>
        <item x="524"/>
        <item x="498"/>
        <item x="525"/>
        <item x="320"/>
        <item x="281"/>
        <item x="379"/>
        <item x="246"/>
        <item x="454"/>
        <item x="378"/>
        <item x="158"/>
        <item x="6"/>
        <item x="90"/>
        <item x="453"/>
        <item x="305"/>
        <item x="137"/>
        <item x="349"/>
        <item x="375"/>
        <item x="389"/>
        <item x="283"/>
        <item x="280"/>
        <item x="196"/>
        <item x="32"/>
        <item x="168"/>
        <item x="303"/>
        <item x="97"/>
        <item x="185"/>
        <item x="34"/>
        <item x="33"/>
        <item x="217"/>
        <item x="468"/>
        <item x="284"/>
        <item x="111"/>
        <item x="30"/>
        <item x="432"/>
        <item x="487"/>
        <item x="421"/>
        <item x="493"/>
        <item x="176"/>
        <item x="96"/>
        <item x="177"/>
        <item x="175"/>
        <item x="0"/>
        <item t="default"/>
      </items>
    </pivotField>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Items count="1">
    <i/>
  </rowItems>
  <colFields count="1">
    <field x="-2"/>
  </colFields>
  <colItems count="4">
    <i>
      <x/>
    </i>
    <i i="1">
      <x v="1"/>
    </i>
    <i i="2">
      <x v="2"/>
    </i>
    <i i="3">
      <x v="3"/>
    </i>
  </colItems>
  <dataFields count="4">
    <dataField name="Sum of Step count" fld="13" baseField="0" baseItem="0"/>
    <dataField name="Sum of Move Minutes count" fld="1" baseField="0" baseItem="1"/>
    <dataField name="Sum of Calories (kcal)" fld="2" baseField="0" baseItem="0"/>
    <dataField name="Average of Distance (m)" fld="3"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I16" firstHeaderRow="0" firstDataRow="1" firstDataCol="1"/>
  <pivotFields count="27">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items count="106">
        <item x="5"/>
        <item x="31"/>
        <item x="46"/>
        <item x="21"/>
        <item x="1"/>
        <item x="30"/>
        <item x="80"/>
        <item x="71"/>
        <item x="9"/>
        <item x="82"/>
        <item x="81"/>
        <item x="88"/>
        <item x="83"/>
        <item x="64"/>
        <item x="87"/>
        <item x="76"/>
        <item x="29"/>
        <item x="23"/>
        <item x="70"/>
        <item x="16"/>
        <item x="45"/>
        <item x="42"/>
        <item x="62"/>
        <item x="69"/>
        <item x="24"/>
        <item x="39"/>
        <item x="60"/>
        <item x="63"/>
        <item x="34"/>
        <item x="61"/>
        <item x="43"/>
        <item x="48"/>
        <item x="20"/>
        <item x="15"/>
        <item x="2"/>
        <item x="12"/>
        <item x="17"/>
        <item x="26"/>
        <item x="19"/>
        <item x="35"/>
        <item x="11"/>
        <item x="18"/>
        <item x="36"/>
        <item x="50"/>
        <item x="3"/>
        <item x="51"/>
        <item x="27"/>
        <item x="59"/>
        <item x="73"/>
        <item x="14"/>
        <item x="93"/>
        <item x="22"/>
        <item x="7"/>
        <item x="56"/>
        <item x="94"/>
        <item x="8"/>
        <item x="37"/>
        <item x="13"/>
        <item x="53"/>
        <item x="78"/>
        <item x="104"/>
        <item x="67"/>
        <item x="103"/>
        <item x="41"/>
        <item x="32"/>
        <item x="57"/>
        <item x="72"/>
        <item x="38"/>
        <item x="6"/>
        <item x="97"/>
        <item x="4"/>
        <item x="40"/>
        <item x="47"/>
        <item x="28"/>
        <item x="44"/>
        <item x="55"/>
        <item x="66"/>
        <item x="74"/>
        <item x="10"/>
        <item x="65"/>
        <item x="91"/>
        <item x="49"/>
        <item x="89"/>
        <item x="99"/>
        <item x="90"/>
        <item x="85"/>
        <item x="92"/>
        <item x="101"/>
        <item x="79"/>
        <item x="77"/>
        <item x="25"/>
        <item x="102"/>
        <item x="54"/>
        <item x="68"/>
        <item x="84"/>
        <item x="58"/>
        <item x="86"/>
        <item x="95"/>
        <item x="75"/>
        <item x="98"/>
        <item x="33"/>
        <item x="52"/>
        <item x="96"/>
        <item x="100"/>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332">
        <item x="139"/>
        <item x="261"/>
        <item x="157"/>
        <item x="191"/>
        <item x="231"/>
        <item x="276"/>
        <item x="117"/>
        <item x="257"/>
        <item x="288"/>
        <item x="165"/>
        <item x="216"/>
        <item x="249"/>
        <item x="243"/>
        <item x="99"/>
        <item x="269"/>
        <item x="286"/>
        <item x="198"/>
        <item x="226"/>
        <item x="298"/>
        <item x="15"/>
        <item x="186"/>
        <item x="80"/>
        <item x="141"/>
        <item x="218"/>
        <item x="133"/>
        <item x="91"/>
        <item x="156"/>
        <item x="292"/>
        <item x="120"/>
        <item x="24"/>
        <item x="58"/>
        <item x="115"/>
        <item x="36"/>
        <item x="73"/>
        <item x="121"/>
        <item x="258"/>
        <item x="95"/>
        <item x="296"/>
        <item x="93"/>
        <item x="71"/>
        <item x="146"/>
        <item x="308"/>
        <item x="158"/>
        <item x="228"/>
        <item x="132"/>
        <item x="118"/>
        <item x="289"/>
        <item x="127"/>
        <item x="94"/>
        <item x="142"/>
        <item x="267"/>
        <item x="277"/>
        <item x="78"/>
        <item x="322"/>
        <item x="211"/>
        <item x="45"/>
        <item x="178"/>
        <item x="281"/>
        <item x="181"/>
        <item x="300"/>
        <item x="282"/>
        <item x="205"/>
        <item x="232"/>
        <item x="275"/>
        <item x="241"/>
        <item x="77"/>
        <item x="301"/>
        <item x="111"/>
        <item x="173"/>
        <item x="207"/>
        <item x="110"/>
        <item x="253"/>
        <item x="260"/>
        <item x="7"/>
        <item x="27"/>
        <item x="294"/>
        <item x="79"/>
        <item x="113"/>
        <item x="154"/>
        <item x="76"/>
        <item x="283"/>
        <item x="38"/>
        <item x="239"/>
        <item x="136"/>
        <item x="176"/>
        <item x="184"/>
        <item x="112"/>
        <item x="316"/>
        <item x="248"/>
        <item x="51"/>
        <item x="330"/>
        <item x="172"/>
        <item x="265"/>
        <item x="102"/>
        <item x="278"/>
        <item x="109"/>
        <item x="326"/>
        <item x="49"/>
        <item x="323"/>
        <item x="124"/>
        <item x="83"/>
        <item x="23"/>
        <item x="309"/>
        <item x="280"/>
        <item x="242"/>
        <item x="119"/>
        <item x="72"/>
        <item x="293"/>
        <item x="46"/>
        <item x="34"/>
        <item x="206"/>
        <item x="87"/>
        <item x="217"/>
        <item x="224"/>
        <item x="53"/>
        <item x="194"/>
        <item x="55"/>
        <item x="28"/>
        <item x="59"/>
        <item x="145"/>
        <item x="98"/>
        <item x="305"/>
        <item x="18"/>
        <item x="104"/>
        <item x="274"/>
        <item x="81"/>
        <item x="252"/>
        <item x="100"/>
        <item x="2"/>
        <item x="199"/>
        <item x="125"/>
        <item x="67"/>
        <item x="11"/>
        <item x="30"/>
        <item x="20"/>
        <item x="279"/>
        <item x="183"/>
        <item x="266"/>
        <item x="270"/>
        <item x="128"/>
        <item x="66"/>
        <item x="129"/>
        <item x="101"/>
        <item x="97"/>
        <item x="182"/>
        <item x="240"/>
        <item x="285"/>
        <item x="213"/>
        <item x="328"/>
        <item x="29"/>
        <item x="14"/>
        <item x="54"/>
        <item x="307"/>
        <item x="88"/>
        <item x="235"/>
        <item x="105"/>
        <item x="223"/>
        <item x="324"/>
        <item x="3"/>
        <item x="131"/>
        <item x="21"/>
        <item x="137"/>
        <item x="50"/>
        <item x="317"/>
        <item x="246"/>
        <item x="214"/>
        <item x="92"/>
        <item x="302"/>
        <item x="319"/>
        <item x="130"/>
        <item x="303"/>
        <item x="171"/>
        <item x="174"/>
        <item x="42"/>
        <item x="220"/>
        <item x="299"/>
        <item x="190"/>
        <item x="35"/>
        <item x="6"/>
        <item x="140"/>
        <item x="107"/>
        <item x="306"/>
        <item x="126"/>
        <item x="40"/>
        <item x="155"/>
        <item x="238"/>
        <item x="31"/>
        <item x="297"/>
        <item x="287"/>
        <item x="250"/>
        <item x="209"/>
        <item x="244"/>
        <item x="284"/>
        <item x="10"/>
        <item x="259"/>
        <item x="210"/>
        <item x="312"/>
        <item x="138"/>
        <item x="273"/>
        <item x="17"/>
        <item x="143"/>
        <item x="43"/>
        <item x="295"/>
        <item x="96"/>
        <item x="164"/>
        <item x="48"/>
        <item x="163"/>
        <item x="1"/>
        <item x="271"/>
        <item x="179"/>
        <item x="203"/>
        <item x="272"/>
        <item x="247"/>
        <item x="313"/>
        <item x="162"/>
        <item x="237"/>
        <item x="255"/>
        <item x="315"/>
        <item x="108"/>
        <item x="61"/>
        <item x="320"/>
        <item x="52"/>
        <item x="65"/>
        <item x="135"/>
        <item x="262"/>
        <item x="185"/>
        <item x="189"/>
        <item x="187"/>
        <item x="175"/>
        <item x="114"/>
        <item x="318"/>
        <item x="268"/>
        <item x="106"/>
        <item x="304"/>
        <item x="197"/>
        <item x="227"/>
        <item x="56"/>
        <item x="47"/>
        <item x="321"/>
        <item x="74"/>
        <item x="236"/>
        <item x="89"/>
        <item x="180"/>
        <item x="147"/>
        <item x="222"/>
        <item x="149"/>
        <item x="4"/>
        <item x="225"/>
        <item x="16"/>
        <item x="264"/>
        <item x="170"/>
        <item x="327"/>
        <item x="290"/>
        <item x="9"/>
        <item x="13"/>
        <item x="196"/>
        <item x="314"/>
        <item x="41"/>
        <item x="215"/>
        <item x="325"/>
        <item x="167"/>
        <item x="310"/>
        <item x="68"/>
        <item x="5"/>
        <item x="221"/>
        <item x="245"/>
        <item x="291"/>
        <item x="86"/>
        <item x="75"/>
        <item x="201"/>
        <item x="234"/>
        <item x="168"/>
        <item x="177"/>
        <item x="229"/>
        <item x="233"/>
        <item x="103"/>
        <item x="160"/>
        <item x="70"/>
        <item x="12"/>
        <item x="329"/>
        <item x="123"/>
        <item x="116"/>
        <item x="219"/>
        <item x="85"/>
        <item x="90"/>
        <item x="263"/>
        <item x="122"/>
        <item x="254"/>
        <item x="144"/>
        <item x="82"/>
        <item x="33"/>
        <item x="8"/>
        <item x="195"/>
        <item x="39"/>
        <item x="230"/>
        <item x="62"/>
        <item x="60"/>
        <item x="69"/>
        <item x="311"/>
        <item x="192"/>
        <item x="32"/>
        <item x="188"/>
        <item x="166"/>
        <item x="84"/>
        <item x="37"/>
        <item x="19"/>
        <item x="64"/>
        <item x="25"/>
        <item x="22"/>
        <item x="208"/>
        <item x="161"/>
        <item x="212"/>
        <item x="256"/>
        <item x="251"/>
        <item x="202"/>
        <item x="134"/>
        <item x="152"/>
        <item x="200"/>
        <item x="153"/>
        <item x="204"/>
        <item x="44"/>
        <item x="169"/>
        <item x="193"/>
        <item x="159"/>
        <item x="63"/>
        <item x="150"/>
        <item x="148"/>
        <item x="26"/>
        <item x="151"/>
        <item x="57"/>
        <item x="0"/>
        <item t="default"/>
      </items>
    </pivotField>
    <pivotField dataField="1" showAll="0">
      <items count="6">
        <item x="4"/>
        <item x="3"/>
        <item x="2"/>
        <item x="1"/>
        <item x="0"/>
        <item t="default"/>
      </items>
    </pivotField>
    <pivotField dataField="1" showAll="0"/>
    <pivotField dataField="1" showAll="0"/>
    <pivotField dataField="1" showAll="0"/>
    <pivotField dataField="1" showAll="0"/>
    <pivotField dataField="1" showAll="0"/>
    <pivotField dataField="1"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0"/>
  </rowFields>
  <rowItems count="13">
    <i>
      <x v="1"/>
    </i>
    <i>
      <x v="2"/>
    </i>
    <i>
      <x v="3"/>
    </i>
    <i>
      <x v="4"/>
    </i>
    <i>
      <x v="5"/>
    </i>
    <i>
      <x v="6"/>
    </i>
    <i>
      <x v="7"/>
    </i>
    <i>
      <x v="8"/>
    </i>
    <i>
      <x v="9"/>
    </i>
    <i>
      <x v="10"/>
    </i>
    <i>
      <x v="11"/>
    </i>
    <i>
      <x v="12"/>
    </i>
    <i t="grand">
      <x/>
    </i>
  </rowItems>
  <colFields count="1">
    <field x="-2"/>
  </colFields>
  <colItems count="8">
    <i>
      <x/>
    </i>
    <i i="1">
      <x v="1"/>
    </i>
    <i i="2">
      <x v="2"/>
    </i>
    <i i="3">
      <x v="3"/>
    </i>
    <i i="4">
      <x v="4"/>
    </i>
    <i i="5">
      <x v="5"/>
    </i>
    <i i="6">
      <x v="6"/>
    </i>
    <i i="7">
      <x v="7"/>
    </i>
  </colItems>
  <dataFields count="8">
    <dataField name="Count of Cycling duration (ms)" fld="17" subtotal="count" baseField="0" baseItem="0"/>
    <dataField name="Count of Inactive duration (ms)" fld="18" subtotal="count" baseField="0" baseItem="0"/>
    <dataField name="Count of Yoga duration (ms)" fld="23" subtotal="count" baseField="0" baseItem="0"/>
    <dataField name="Count of P90x duration (ms)" fld="22" subtotal="count" baseField="0" baseItem="0"/>
    <dataField name="Count of Other duration (ms)" fld="24" subtotal="count" baseField="0" baseItem="0"/>
    <dataField name="Count of Walking duration (ms)" fld="19" subtotal="count" baseField="0" baseItem="0"/>
    <dataField name="Count of Dancing duration (ms)" fld="21" subtotal="count" baseField="0" baseItem="0"/>
    <dataField name="Count of Running duration (ms)" fld="20" subtotal="count" baseField="0" baseItem="0"/>
  </dataFields>
  <chartFormats count="16">
    <chartFormat chart="4" format="40" series="1">
      <pivotArea type="data" outline="0" fieldPosition="0">
        <references count="1">
          <reference field="4294967294" count="1" selected="0">
            <x v="0"/>
          </reference>
        </references>
      </pivotArea>
    </chartFormat>
    <chartFormat chart="4" format="41" series="1">
      <pivotArea type="data" outline="0" fieldPosition="0">
        <references count="1">
          <reference field="4294967294" count="1" selected="0">
            <x v="1"/>
          </reference>
        </references>
      </pivotArea>
    </chartFormat>
    <chartFormat chart="4" format="42" series="1">
      <pivotArea type="data" outline="0" fieldPosition="0">
        <references count="1">
          <reference field="4294967294" count="1" selected="0">
            <x v="2"/>
          </reference>
        </references>
      </pivotArea>
    </chartFormat>
    <chartFormat chart="4" format="43" series="1">
      <pivotArea type="data" outline="0" fieldPosition="0">
        <references count="1">
          <reference field="4294967294" count="1" selected="0">
            <x v="3"/>
          </reference>
        </references>
      </pivotArea>
    </chartFormat>
    <chartFormat chart="4" format="44" series="1">
      <pivotArea type="data" outline="0" fieldPosition="0">
        <references count="1">
          <reference field="4294967294" count="1" selected="0">
            <x v="4"/>
          </reference>
        </references>
      </pivotArea>
    </chartFormat>
    <chartFormat chart="4" format="45" series="1">
      <pivotArea type="data" outline="0" fieldPosition="0">
        <references count="1">
          <reference field="4294967294" count="1" selected="0">
            <x v="5"/>
          </reference>
        </references>
      </pivotArea>
    </chartFormat>
    <chartFormat chart="4" format="46" series="1">
      <pivotArea type="data" outline="0" fieldPosition="0">
        <references count="1">
          <reference field="4294967294" count="1" selected="0">
            <x v="6"/>
          </reference>
        </references>
      </pivotArea>
    </chartFormat>
    <chartFormat chart="4" format="47" series="1">
      <pivotArea type="data" outline="0" fieldPosition="0">
        <references count="1">
          <reference field="4294967294" count="1" selected="0">
            <x v="7"/>
          </reference>
        </references>
      </pivotArea>
    </chartFormat>
    <chartFormat chart="1" format="32" series="1">
      <pivotArea type="data" outline="0" fieldPosition="0">
        <references count="1">
          <reference field="4294967294" count="1" selected="0">
            <x v="0"/>
          </reference>
        </references>
      </pivotArea>
    </chartFormat>
    <chartFormat chart="1" format="33" series="1">
      <pivotArea type="data" outline="0" fieldPosition="0">
        <references count="1">
          <reference field="4294967294" count="1" selected="0">
            <x v="1"/>
          </reference>
        </references>
      </pivotArea>
    </chartFormat>
    <chartFormat chart="1" format="34" series="1">
      <pivotArea type="data" outline="0" fieldPosition="0">
        <references count="1">
          <reference field="4294967294" count="1" selected="0">
            <x v="2"/>
          </reference>
        </references>
      </pivotArea>
    </chartFormat>
    <chartFormat chart="1" format="35" series="1">
      <pivotArea type="data" outline="0" fieldPosition="0">
        <references count="1">
          <reference field="4294967294" count="1" selected="0">
            <x v="3"/>
          </reference>
        </references>
      </pivotArea>
    </chartFormat>
    <chartFormat chart="1" format="36" series="1">
      <pivotArea type="data" outline="0" fieldPosition="0">
        <references count="1">
          <reference field="4294967294" count="1" selected="0">
            <x v="4"/>
          </reference>
        </references>
      </pivotArea>
    </chartFormat>
    <chartFormat chart="1" format="37" series="1">
      <pivotArea type="data" outline="0" fieldPosition="0">
        <references count="1">
          <reference field="4294967294" count="1" selected="0">
            <x v="5"/>
          </reference>
        </references>
      </pivotArea>
    </chartFormat>
    <chartFormat chart="1" format="38" series="1">
      <pivotArea type="data" outline="0" fieldPosition="0">
        <references count="1">
          <reference field="4294967294" count="1" selected="0">
            <x v="6"/>
          </reference>
        </references>
      </pivotArea>
    </chartFormat>
    <chartFormat chart="1" format="39" series="1">
      <pivotArea type="data" outline="0" fieldPosition="0">
        <references count="1">
          <reference field="429496729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16" firstHeaderRow="1" firstDataRow="1" firstDataCol="1"/>
  <pivotFields count="27">
    <pivotField axis="axisRow" numFmtId="14" showAll="0">
      <items count="15">
        <item x="0"/>
        <item x="1"/>
        <item x="2"/>
        <item x="3"/>
        <item x="4"/>
        <item x="5"/>
        <item x="6"/>
        <item x="7"/>
        <item x="8"/>
        <item x="9"/>
        <item x="10"/>
        <item x="11"/>
        <item x="12"/>
        <item x="13"/>
        <item t="default"/>
      </items>
    </pivotField>
    <pivotField showAll="0">
      <items count="194">
        <item x="9"/>
        <item x="0"/>
        <item x="60"/>
        <item x="2"/>
        <item x="66"/>
        <item x="139"/>
        <item x="125"/>
        <item x="7"/>
        <item x="55"/>
        <item x="13"/>
        <item x="61"/>
        <item x="136"/>
        <item x="62"/>
        <item x="39"/>
        <item x="179"/>
        <item x="49"/>
        <item x="50"/>
        <item x="64"/>
        <item x="59"/>
        <item x="135"/>
        <item x="169"/>
        <item x="14"/>
        <item x="129"/>
        <item x="104"/>
        <item x="145"/>
        <item x="58"/>
        <item x="148"/>
        <item x="38"/>
        <item x="131"/>
        <item x="67"/>
        <item x="133"/>
        <item x="144"/>
        <item x="178"/>
        <item x="183"/>
        <item x="147"/>
        <item x="90"/>
        <item x="128"/>
        <item x="77"/>
        <item x="175"/>
        <item x="132"/>
        <item x="71"/>
        <item x="54"/>
        <item x="23"/>
        <item x="141"/>
        <item x="56"/>
        <item x="43"/>
        <item x="17"/>
        <item x="137"/>
        <item x="3"/>
        <item x="68"/>
        <item x="51"/>
        <item x="4"/>
        <item x="37"/>
        <item x="65"/>
        <item x="16"/>
        <item x="86"/>
        <item x="21"/>
        <item x="25"/>
        <item x="97"/>
        <item x="94"/>
        <item x="32"/>
        <item x="24"/>
        <item x="33"/>
        <item x="44"/>
        <item x="73"/>
        <item x="36"/>
        <item x="89"/>
        <item x="22"/>
        <item x="18"/>
        <item x="11"/>
        <item x="93"/>
        <item x="100"/>
        <item x="46"/>
        <item x="10"/>
        <item x="96"/>
        <item x="42"/>
        <item x="91"/>
        <item x="107"/>
        <item x="20"/>
        <item x="109"/>
        <item x="48"/>
        <item x="88"/>
        <item x="34"/>
        <item x="78"/>
        <item x="120"/>
        <item x="40"/>
        <item x="1"/>
        <item x="47"/>
        <item x="72"/>
        <item x="5"/>
        <item x="162"/>
        <item x="146"/>
        <item x="143"/>
        <item x="85"/>
        <item x="12"/>
        <item x="124"/>
        <item x="52"/>
        <item x="79"/>
        <item x="140"/>
        <item x="102"/>
        <item x="69"/>
        <item x="19"/>
        <item x="123"/>
        <item x="26"/>
        <item x="182"/>
        <item x="138"/>
        <item x="122"/>
        <item x="172"/>
        <item x="185"/>
        <item x="103"/>
        <item x="57"/>
        <item x="158"/>
        <item x="190"/>
        <item x="167"/>
        <item x="161"/>
        <item x="83"/>
        <item x="82"/>
        <item x="101"/>
        <item x="156"/>
        <item x="53"/>
        <item x="134"/>
        <item x="92"/>
        <item x="151"/>
        <item x="99"/>
        <item x="142"/>
        <item x="81"/>
        <item x="108"/>
        <item x="119"/>
        <item x="111"/>
        <item x="105"/>
        <item x="174"/>
        <item x="152"/>
        <item x="80"/>
        <item x="70"/>
        <item x="63"/>
        <item x="95"/>
        <item x="165"/>
        <item x="157"/>
        <item x="154"/>
        <item x="87"/>
        <item x="173"/>
        <item x="164"/>
        <item x="176"/>
        <item x="153"/>
        <item x="163"/>
        <item x="28"/>
        <item x="170"/>
        <item x="106"/>
        <item x="112"/>
        <item x="155"/>
        <item x="98"/>
        <item x="35"/>
        <item x="191"/>
        <item x="84"/>
        <item x="168"/>
        <item x="126"/>
        <item x="8"/>
        <item x="192"/>
        <item x="177"/>
        <item x="188"/>
        <item x="113"/>
        <item x="15"/>
        <item x="110"/>
        <item x="74"/>
        <item x="159"/>
        <item x="184"/>
        <item x="115"/>
        <item x="41"/>
        <item x="114"/>
        <item x="187"/>
        <item x="127"/>
        <item x="149"/>
        <item x="6"/>
        <item x="189"/>
        <item x="130"/>
        <item x="186"/>
        <item x="181"/>
        <item x="180"/>
        <item x="121"/>
        <item x="150"/>
        <item x="171"/>
        <item x="160"/>
        <item x="76"/>
        <item x="166"/>
        <item x="75"/>
        <item x="31"/>
        <item x="29"/>
        <item x="27"/>
        <item x="117"/>
        <item x="30"/>
        <item x="118"/>
        <item x="116"/>
        <item x="45"/>
        <item t="default"/>
      </items>
    </pivotField>
    <pivotField showAll="0"/>
    <pivotField showAll="0">
      <items count="546">
        <item x="83"/>
        <item x="241"/>
        <item x="417"/>
        <item x="146"/>
        <item x="351"/>
        <item x="72"/>
        <item x="75"/>
        <item x="379"/>
        <item x="49"/>
        <item x="226"/>
        <item x="9"/>
        <item x="420"/>
        <item x="90"/>
        <item x="396"/>
        <item x="87"/>
        <item x="74"/>
        <item x="220"/>
        <item x="0"/>
        <item x="213"/>
        <item x="405"/>
        <item x="189"/>
        <item x="91"/>
        <item x="64"/>
        <item x="426"/>
        <item x="222"/>
        <item x="252"/>
        <item x="86"/>
        <item x="223"/>
        <item x="249"/>
        <item x="217"/>
        <item x="2"/>
        <item x="126"/>
        <item x="203"/>
        <item x="242"/>
        <item x="214"/>
        <item x="411"/>
        <item x="209"/>
        <item x="21"/>
        <item x="140"/>
        <item x="410"/>
        <item x="437"/>
        <item x="7"/>
        <item x="239"/>
        <item x="67"/>
        <item x="246"/>
        <item x="112"/>
        <item x="65"/>
        <item x="70"/>
        <item x="245"/>
        <item x="84"/>
        <item x="157"/>
        <item x="13"/>
        <item x="82"/>
        <item x="218"/>
        <item x="43"/>
        <item x="517"/>
        <item x="77"/>
        <item x="277"/>
        <item x="238"/>
        <item x="489"/>
        <item x="367"/>
        <item x="272"/>
        <item x="147"/>
        <item x="413"/>
        <item x="290"/>
        <item x="76"/>
        <item x="78"/>
        <item x="510"/>
        <item x="435"/>
        <item x="287"/>
        <item x="434"/>
        <item x="24"/>
        <item x="363"/>
        <item x="383"/>
        <item x="210"/>
        <item x="85"/>
        <item x="286"/>
        <item x="281"/>
        <item x="42"/>
        <item x="56"/>
        <item x="262"/>
        <item x="452"/>
        <item x="88"/>
        <item x="532"/>
        <item x="132"/>
        <item x="282"/>
        <item x="544"/>
        <item x="251"/>
        <item x="68"/>
        <item x="143"/>
        <item x="250"/>
        <item x="253"/>
        <item x="429"/>
        <item x="461"/>
        <item x="515"/>
        <item x="353"/>
        <item x="80"/>
        <item x="71"/>
        <item x="393"/>
        <item x="55"/>
        <item x="266"/>
        <item x="100"/>
        <item x="73"/>
        <item x="465"/>
        <item x="314"/>
        <item x="284"/>
        <item x="443"/>
        <item x="279"/>
        <item x="274"/>
        <item x="398"/>
        <item x="419"/>
        <item x="142"/>
        <item x="3"/>
        <item x="235"/>
        <item x="254"/>
        <item x="283"/>
        <item x="188"/>
        <item x="166"/>
        <item x="327"/>
        <item x="16"/>
        <item x="263"/>
        <item x="57"/>
        <item x="511"/>
        <item x="151"/>
        <item x="225"/>
        <item x="14"/>
        <item x="425"/>
        <item x="433"/>
        <item x="509"/>
        <item x="17"/>
        <item x="422"/>
        <item x="234"/>
        <item x="321"/>
        <item x="261"/>
        <item x="109"/>
        <item x="41"/>
        <item x="439"/>
        <item x="361"/>
        <item x="47"/>
        <item x="400"/>
        <item x="516"/>
        <item x="369"/>
        <item x="106"/>
        <item x="221"/>
        <item x="482"/>
        <item x="216"/>
        <item x="228"/>
        <item x="230"/>
        <item x="92"/>
        <item x="205"/>
        <item x="149"/>
        <item x="94"/>
        <item x="168"/>
        <item x="187"/>
        <item x="62"/>
        <item x="399"/>
        <item x="44"/>
        <item x="211"/>
        <item x="418"/>
        <item x="472"/>
        <item x="300"/>
        <item x="248"/>
        <item x="123"/>
        <item x="480"/>
        <item x="391"/>
        <item x="349"/>
        <item x="54"/>
        <item x="414"/>
        <item x="22"/>
        <item x="52"/>
        <item x="69"/>
        <item x="341"/>
        <item x="25"/>
        <item x="4"/>
        <item x="102"/>
        <item x="63"/>
        <item x="120"/>
        <item x="200"/>
        <item x="66"/>
        <item x="255"/>
        <item x="304"/>
        <item x="224"/>
        <item x="108"/>
        <item x="10"/>
        <item x="48"/>
        <item x="259"/>
        <item x="450"/>
        <item x="376"/>
        <item x="212"/>
        <item x="364"/>
        <item x="408"/>
        <item x="53"/>
        <item x="428"/>
        <item x="446"/>
        <item x="237"/>
        <item x="415"/>
        <item x="121"/>
        <item x="116"/>
        <item x="93"/>
        <item x="397"/>
        <item x="412"/>
        <item x="40"/>
        <item x="164"/>
        <item x="256"/>
        <item x="172"/>
        <item x="58"/>
        <item x="296"/>
        <item x="51"/>
        <item x="312"/>
        <item x="271"/>
        <item x="355"/>
        <item x="11"/>
        <item x="36"/>
        <item x="95"/>
        <item x="381"/>
        <item x="20"/>
        <item x="18"/>
        <item x="197"/>
        <item x="458"/>
        <item x="338"/>
        <item x="372"/>
        <item x="500"/>
        <item x="366"/>
        <item x="289"/>
        <item x="449"/>
        <item x="424"/>
        <item x="423"/>
        <item x="141"/>
        <item x="392"/>
        <item x="320"/>
        <item x="407"/>
        <item x="342"/>
        <item x="377"/>
        <item x="357"/>
        <item x="456"/>
        <item x="219"/>
        <item x="394"/>
        <item x="110"/>
        <item x="122"/>
        <item x="373"/>
        <item x="441"/>
        <item x="26"/>
        <item x="89"/>
        <item x="466"/>
        <item x="229"/>
        <item x="457"/>
        <item x="111"/>
        <item x="156"/>
        <item x="467"/>
        <item x="39"/>
        <item x="358"/>
        <item x="309"/>
        <item x="215"/>
        <item x="464"/>
        <item x="59"/>
        <item x="416"/>
        <item x="324"/>
        <item x="131"/>
        <item x="124"/>
        <item x="478"/>
        <item x="50"/>
        <item x="485"/>
        <item x="231"/>
        <item x="473"/>
        <item x="451"/>
        <item x="60"/>
        <item x="29"/>
        <item x="491"/>
        <item x="285"/>
        <item x="244"/>
        <item x="97"/>
        <item x="243"/>
        <item x="322"/>
        <item x="1"/>
        <item x="136"/>
        <item x="144"/>
        <item x="127"/>
        <item x="175"/>
        <item x="103"/>
        <item x="403"/>
        <item x="37"/>
        <item x="19"/>
        <item x="440"/>
        <item x="129"/>
        <item x="150"/>
        <item x="196"/>
        <item x="158"/>
        <item x="374"/>
        <item x="23"/>
        <item x="192"/>
        <item x="236"/>
        <item x="5"/>
        <item x="308"/>
        <item x="207"/>
        <item x="501"/>
        <item x="27"/>
        <item x="135"/>
        <item x="378"/>
        <item x="345"/>
        <item x="155"/>
        <item x="170"/>
        <item x="453"/>
        <item x="387"/>
        <item x="194"/>
        <item x="503"/>
        <item x="81"/>
        <item x="402"/>
        <item x="519"/>
        <item x="384"/>
        <item x="445"/>
        <item x="421"/>
        <item x="344"/>
        <item x="61"/>
        <item x="454"/>
        <item x="130"/>
        <item x="348"/>
        <item x="268"/>
        <item x="280"/>
        <item x="370"/>
        <item x="96"/>
        <item x="276"/>
        <item x="331"/>
        <item x="269"/>
        <item x="431"/>
        <item x="337"/>
        <item x="201"/>
        <item x="432"/>
        <item x="128"/>
        <item x="543"/>
        <item x="202"/>
        <item x="339"/>
        <item x="113"/>
        <item x="171"/>
        <item x="474"/>
        <item x="496"/>
        <item x="430"/>
        <item x="35"/>
        <item x="490"/>
        <item x="162"/>
        <item x="134"/>
        <item x="46"/>
        <item x="459"/>
        <item x="307"/>
        <item x="174"/>
        <item x="163"/>
        <item x="247"/>
        <item x="193"/>
        <item x="199"/>
        <item x="328"/>
        <item x="306"/>
        <item x="477"/>
        <item x="346"/>
        <item x="260"/>
        <item x="176"/>
        <item x="536"/>
        <item x="101"/>
        <item x="427"/>
        <item x="334"/>
        <item x="343"/>
        <item x="318"/>
        <item x="273"/>
        <item x="302"/>
        <item x="505"/>
        <item x="278"/>
        <item x="527"/>
        <item x="258"/>
        <item x="310"/>
        <item x="475"/>
        <item x="530"/>
        <item x="479"/>
        <item x="240"/>
        <item x="133"/>
        <item x="526"/>
        <item x="204"/>
        <item x="375"/>
        <item x="493"/>
        <item x="161"/>
        <item x="365"/>
        <item x="316"/>
        <item x="99"/>
        <item x="460"/>
        <item x="165"/>
        <item x="267"/>
        <item x="233"/>
        <item x="533"/>
        <item x="154"/>
        <item x="350"/>
        <item x="298"/>
        <item x="356"/>
        <item x="117"/>
        <item x="45"/>
        <item x="495"/>
        <item x="118"/>
        <item x="537"/>
        <item x="299"/>
        <item x="190"/>
        <item x="462"/>
        <item x="138"/>
        <item x="288"/>
        <item x="382"/>
        <item x="311"/>
        <item x="438"/>
        <item x="38"/>
        <item x="160"/>
        <item x="395"/>
        <item x="380"/>
        <item x="463"/>
        <item x="534"/>
        <item x="481"/>
        <item x="528"/>
        <item x="107"/>
        <item x="326"/>
        <item x="487"/>
        <item x="471"/>
        <item x="498"/>
        <item x="333"/>
        <item x="114"/>
        <item x="264"/>
        <item x="293"/>
        <item x="139"/>
        <item x="198"/>
        <item x="12"/>
        <item x="448"/>
        <item x="137"/>
        <item x="115"/>
        <item x="442"/>
        <item x="521"/>
        <item x="368"/>
        <item x="352"/>
        <item x="371"/>
        <item x="406"/>
        <item x="444"/>
        <item x="265"/>
        <item x="28"/>
        <item x="385"/>
        <item x="488"/>
        <item x="340"/>
        <item x="159"/>
        <item x="476"/>
        <item x="169"/>
        <item x="404"/>
        <item x="347"/>
        <item x="303"/>
        <item x="179"/>
        <item x="125"/>
        <item x="305"/>
        <item x="301"/>
        <item x="336"/>
        <item x="297"/>
        <item x="522"/>
        <item x="329"/>
        <item x="492"/>
        <item x="455"/>
        <item x="153"/>
        <item x="529"/>
        <item x="191"/>
        <item x="539"/>
        <item x="270"/>
        <item x="325"/>
        <item x="178"/>
        <item x="148"/>
        <item x="208"/>
        <item x="506"/>
        <item x="499"/>
        <item x="531"/>
        <item x="332"/>
        <item x="15"/>
        <item x="317"/>
        <item x="497"/>
        <item x="354"/>
        <item x="520"/>
        <item x="525"/>
        <item x="513"/>
        <item x="362"/>
        <item x="182"/>
        <item x="180"/>
        <item x="523"/>
        <item x="8"/>
        <item x="494"/>
        <item x="181"/>
        <item x="470"/>
        <item x="409"/>
        <item x="535"/>
        <item x="31"/>
        <item x="538"/>
        <item x="486"/>
        <item x="257"/>
        <item x="173"/>
        <item x="484"/>
        <item x="524"/>
        <item x="323"/>
        <item x="512"/>
        <item x="388"/>
        <item x="319"/>
        <item x="275"/>
        <item x="292"/>
        <item x="389"/>
        <item x="504"/>
        <item x="540"/>
        <item x="359"/>
        <item x="330"/>
        <item x="518"/>
        <item x="167"/>
        <item x="232"/>
        <item x="79"/>
        <item x="183"/>
        <item x="390"/>
        <item x="468"/>
        <item x="542"/>
        <item x="291"/>
        <item x="195"/>
        <item x="145"/>
        <item x="335"/>
        <item x="508"/>
        <item x="294"/>
        <item x="206"/>
        <item x="401"/>
        <item x="507"/>
        <item x="360"/>
        <item x="313"/>
        <item x="469"/>
        <item x="98"/>
        <item x="315"/>
        <item x="177"/>
        <item x="34"/>
        <item x="541"/>
        <item x="514"/>
        <item x="386"/>
        <item x="483"/>
        <item x="105"/>
        <item x="295"/>
        <item x="502"/>
        <item x="447"/>
        <item x="227"/>
        <item x="6"/>
        <item x="119"/>
        <item x="436"/>
        <item x="32"/>
        <item x="104"/>
        <item x="30"/>
        <item x="33"/>
        <item x="185"/>
        <item x="184"/>
        <item x="186"/>
        <item x="152"/>
        <item t="default"/>
      </items>
    </pivotField>
    <pivotField showAll="0"/>
    <pivotField showAll="0"/>
    <pivotField showAll="0"/>
    <pivotField showAll="0"/>
    <pivotField showAll="0"/>
    <pivotField showAll="0"/>
    <pivotField showAll="0"/>
    <pivotField showAll="0"/>
    <pivotField showAll="0"/>
    <pivotField dataField="1" showAll="0"/>
    <pivotField showAll="0">
      <items count="4">
        <item x="2"/>
        <item x="0"/>
        <item x="1"/>
        <item t="default"/>
      </items>
    </pivotField>
    <pivotField showAll="0"/>
    <pivotField showAll="0"/>
    <pivotField showAll="0">
      <items count="332">
        <item x="139"/>
        <item x="261"/>
        <item x="157"/>
        <item x="191"/>
        <item x="231"/>
        <item x="276"/>
        <item x="117"/>
        <item x="257"/>
        <item x="288"/>
        <item x="165"/>
        <item x="216"/>
        <item x="249"/>
        <item x="243"/>
        <item x="99"/>
        <item x="269"/>
        <item x="286"/>
        <item x="198"/>
        <item x="226"/>
        <item x="298"/>
        <item x="15"/>
        <item x="186"/>
        <item x="80"/>
        <item x="141"/>
        <item x="218"/>
        <item x="133"/>
        <item x="91"/>
        <item x="156"/>
        <item x="292"/>
        <item x="120"/>
        <item x="24"/>
        <item x="58"/>
        <item x="115"/>
        <item x="36"/>
        <item x="73"/>
        <item x="121"/>
        <item x="258"/>
        <item x="95"/>
        <item x="296"/>
        <item x="93"/>
        <item x="71"/>
        <item x="146"/>
        <item x="308"/>
        <item x="158"/>
        <item x="228"/>
        <item x="132"/>
        <item x="118"/>
        <item x="289"/>
        <item x="127"/>
        <item x="94"/>
        <item x="142"/>
        <item x="267"/>
        <item x="277"/>
        <item x="78"/>
        <item x="322"/>
        <item x="211"/>
        <item x="45"/>
        <item x="178"/>
        <item x="281"/>
        <item x="181"/>
        <item x="300"/>
        <item x="282"/>
        <item x="205"/>
        <item x="232"/>
        <item x="275"/>
        <item x="241"/>
        <item x="77"/>
        <item x="301"/>
        <item x="111"/>
        <item x="173"/>
        <item x="207"/>
        <item x="110"/>
        <item x="253"/>
        <item x="260"/>
        <item x="7"/>
        <item x="27"/>
        <item x="294"/>
        <item x="79"/>
        <item x="113"/>
        <item x="154"/>
        <item x="76"/>
        <item x="283"/>
        <item x="38"/>
        <item x="239"/>
        <item x="136"/>
        <item x="176"/>
        <item x="184"/>
        <item x="112"/>
        <item x="316"/>
        <item x="248"/>
        <item x="51"/>
        <item x="330"/>
        <item x="172"/>
        <item x="265"/>
        <item x="102"/>
        <item x="278"/>
        <item x="109"/>
        <item x="326"/>
        <item x="49"/>
        <item x="323"/>
        <item x="124"/>
        <item x="83"/>
        <item x="23"/>
        <item x="309"/>
        <item x="280"/>
        <item x="242"/>
        <item x="119"/>
        <item x="72"/>
        <item x="293"/>
        <item x="46"/>
        <item x="34"/>
        <item x="206"/>
        <item x="87"/>
        <item x="217"/>
        <item x="224"/>
        <item x="53"/>
        <item x="194"/>
        <item x="55"/>
        <item x="28"/>
        <item x="59"/>
        <item x="145"/>
        <item x="98"/>
        <item x="305"/>
        <item x="18"/>
        <item x="104"/>
        <item x="274"/>
        <item x="81"/>
        <item x="252"/>
        <item x="100"/>
        <item x="2"/>
        <item x="199"/>
        <item x="125"/>
        <item x="67"/>
        <item x="11"/>
        <item x="30"/>
        <item x="20"/>
        <item x="279"/>
        <item x="183"/>
        <item x="266"/>
        <item x="270"/>
        <item x="128"/>
        <item x="66"/>
        <item x="129"/>
        <item x="101"/>
        <item x="97"/>
        <item x="182"/>
        <item x="240"/>
        <item x="285"/>
        <item x="213"/>
        <item x="328"/>
        <item x="29"/>
        <item x="14"/>
        <item x="54"/>
        <item x="307"/>
        <item x="88"/>
        <item x="235"/>
        <item x="105"/>
        <item x="223"/>
        <item x="324"/>
        <item x="3"/>
        <item x="131"/>
        <item x="21"/>
        <item x="137"/>
        <item x="50"/>
        <item x="317"/>
        <item x="246"/>
        <item x="214"/>
        <item x="92"/>
        <item x="302"/>
        <item x="319"/>
        <item x="130"/>
        <item x="303"/>
        <item x="171"/>
        <item x="174"/>
        <item x="42"/>
        <item x="220"/>
        <item x="299"/>
        <item x="190"/>
        <item x="35"/>
        <item x="6"/>
        <item x="140"/>
        <item x="107"/>
        <item x="306"/>
        <item x="126"/>
        <item x="40"/>
        <item x="155"/>
        <item x="238"/>
        <item x="31"/>
        <item x="297"/>
        <item x="287"/>
        <item x="250"/>
        <item x="209"/>
        <item x="244"/>
        <item x="284"/>
        <item x="10"/>
        <item x="259"/>
        <item x="210"/>
        <item x="312"/>
        <item x="138"/>
        <item x="273"/>
        <item x="17"/>
        <item x="143"/>
        <item x="43"/>
        <item x="295"/>
        <item x="96"/>
        <item x="164"/>
        <item x="48"/>
        <item x="163"/>
        <item x="1"/>
        <item x="271"/>
        <item x="179"/>
        <item x="203"/>
        <item x="272"/>
        <item x="247"/>
        <item x="313"/>
        <item x="162"/>
        <item x="237"/>
        <item x="255"/>
        <item x="315"/>
        <item x="108"/>
        <item x="61"/>
        <item x="320"/>
        <item x="52"/>
        <item x="65"/>
        <item x="135"/>
        <item x="262"/>
        <item x="185"/>
        <item x="189"/>
        <item x="187"/>
        <item x="175"/>
        <item x="114"/>
        <item x="318"/>
        <item x="268"/>
        <item x="106"/>
        <item x="304"/>
        <item x="197"/>
        <item x="227"/>
        <item x="56"/>
        <item x="47"/>
        <item x="321"/>
        <item x="74"/>
        <item x="236"/>
        <item x="89"/>
        <item x="180"/>
        <item x="147"/>
        <item x="222"/>
        <item x="149"/>
        <item x="4"/>
        <item x="225"/>
        <item x="16"/>
        <item x="264"/>
        <item x="170"/>
        <item x="327"/>
        <item x="290"/>
        <item x="9"/>
        <item x="13"/>
        <item x="196"/>
        <item x="314"/>
        <item x="41"/>
        <item x="215"/>
        <item x="325"/>
        <item x="167"/>
        <item x="310"/>
        <item x="68"/>
        <item x="5"/>
        <item x="221"/>
        <item x="245"/>
        <item x="291"/>
        <item x="86"/>
        <item x="75"/>
        <item x="201"/>
        <item x="234"/>
        <item x="168"/>
        <item x="177"/>
        <item x="229"/>
        <item x="233"/>
        <item x="103"/>
        <item x="160"/>
        <item x="70"/>
        <item x="12"/>
        <item x="329"/>
        <item x="123"/>
        <item x="116"/>
        <item x="219"/>
        <item x="85"/>
        <item x="90"/>
        <item x="263"/>
        <item x="122"/>
        <item x="254"/>
        <item x="144"/>
        <item x="82"/>
        <item x="33"/>
        <item x="8"/>
        <item x="195"/>
        <item x="39"/>
        <item x="230"/>
        <item x="62"/>
        <item x="60"/>
        <item x="69"/>
        <item x="311"/>
        <item x="192"/>
        <item x="32"/>
        <item x="188"/>
        <item x="166"/>
        <item x="84"/>
        <item x="37"/>
        <item x="19"/>
        <item x="64"/>
        <item x="25"/>
        <item x="22"/>
        <item x="208"/>
        <item x="161"/>
        <item x="212"/>
        <item x="256"/>
        <item x="251"/>
        <item x="202"/>
        <item x="134"/>
        <item x="152"/>
        <item x="200"/>
        <item x="153"/>
        <item x="204"/>
        <item x="44"/>
        <item x="169"/>
        <item x="193"/>
        <item x="159"/>
        <item x="63"/>
        <item x="150"/>
        <item x="148"/>
        <item x="26"/>
        <item x="151"/>
        <item x="57"/>
        <item x="0"/>
        <item t="default"/>
      </items>
    </pivotField>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0"/>
  </rowFields>
  <rowItems count="13">
    <i>
      <x v="1"/>
    </i>
    <i>
      <x v="2"/>
    </i>
    <i>
      <x v="3"/>
    </i>
    <i>
      <x v="4"/>
    </i>
    <i>
      <x v="5"/>
    </i>
    <i>
      <x v="6"/>
    </i>
    <i>
      <x v="7"/>
    </i>
    <i>
      <x v="8"/>
    </i>
    <i>
      <x v="9"/>
    </i>
    <i>
      <x v="10"/>
    </i>
    <i>
      <x v="11"/>
    </i>
    <i>
      <x v="12"/>
    </i>
    <i t="grand">
      <x/>
    </i>
  </rowItems>
  <colItems count="1">
    <i/>
  </colItems>
  <dataFields count="1">
    <dataField name="Sum of Step count" fld="13" baseField="0" baseItem="0"/>
  </dataFields>
  <chartFormats count="26">
    <chartFormat chart="2" format="1" series="1">
      <pivotArea type="data" outline="0" fieldPosition="0">
        <references count="1">
          <reference field="4294967294" count="1" selected="0">
            <x v="0"/>
          </reference>
        </references>
      </pivotArea>
    </chartFormat>
    <chartFormat chart="7" format="15" series="1">
      <pivotArea type="data" outline="0" fieldPosition="0">
        <references count="1">
          <reference field="4294967294" count="1" selected="0">
            <x v="0"/>
          </reference>
        </references>
      </pivotArea>
    </chartFormat>
    <chartFormat chart="7" format="16">
      <pivotArea type="data" outline="0" fieldPosition="0">
        <references count="2">
          <reference field="4294967294" count="1" selected="0">
            <x v="0"/>
          </reference>
          <reference field="0" count="1" selected="0">
            <x v="1"/>
          </reference>
        </references>
      </pivotArea>
    </chartFormat>
    <chartFormat chart="7" format="17">
      <pivotArea type="data" outline="0" fieldPosition="0">
        <references count="2">
          <reference field="4294967294" count="1" selected="0">
            <x v="0"/>
          </reference>
          <reference field="0" count="1" selected="0">
            <x v="2"/>
          </reference>
        </references>
      </pivotArea>
    </chartFormat>
    <chartFormat chart="7" format="18">
      <pivotArea type="data" outline="0" fieldPosition="0">
        <references count="2">
          <reference field="4294967294" count="1" selected="0">
            <x v="0"/>
          </reference>
          <reference field="0" count="1" selected="0">
            <x v="3"/>
          </reference>
        </references>
      </pivotArea>
    </chartFormat>
    <chartFormat chart="7" format="19">
      <pivotArea type="data" outline="0" fieldPosition="0">
        <references count="2">
          <reference field="4294967294" count="1" selected="0">
            <x v="0"/>
          </reference>
          <reference field="0" count="1" selected="0">
            <x v="4"/>
          </reference>
        </references>
      </pivotArea>
    </chartFormat>
    <chartFormat chart="7" format="20">
      <pivotArea type="data" outline="0" fieldPosition="0">
        <references count="2">
          <reference field="4294967294" count="1" selected="0">
            <x v="0"/>
          </reference>
          <reference field="0" count="1" selected="0">
            <x v="5"/>
          </reference>
        </references>
      </pivotArea>
    </chartFormat>
    <chartFormat chart="7" format="21">
      <pivotArea type="data" outline="0" fieldPosition="0">
        <references count="2">
          <reference field="4294967294" count="1" selected="0">
            <x v="0"/>
          </reference>
          <reference field="0" count="1" selected="0">
            <x v="6"/>
          </reference>
        </references>
      </pivotArea>
    </chartFormat>
    <chartFormat chart="7" format="22">
      <pivotArea type="data" outline="0" fieldPosition="0">
        <references count="2">
          <reference field="4294967294" count="1" selected="0">
            <x v="0"/>
          </reference>
          <reference field="0" count="1" selected="0">
            <x v="7"/>
          </reference>
        </references>
      </pivotArea>
    </chartFormat>
    <chartFormat chart="7" format="23">
      <pivotArea type="data" outline="0" fieldPosition="0">
        <references count="2">
          <reference field="4294967294" count="1" selected="0">
            <x v="0"/>
          </reference>
          <reference field="0" count="1" selected="0">
            <x v="8"/>
          </reference>
        </references>
      </pivotArea>
    </chartFormat>
    <chartFormat chart="7" format="24">
      <pivotArea type="data" outline="0" fieldPosition="0">
        <references count="2">
          <reference field="4294967294" count="1" selected="0">
            <x v="0"/>
          </reference>
          <reference field="0" count="1" selected="0">
            <x v="9"/>
          </reference>
        </references>
      </pivotArea>
    </chartFormat>
    <chartFormat chart="7" format="25">
      <pivotArea type="data" outline="0" fieldPosition="0">
        <references count="2">
          <reference field="4294967294" count="1" selected="0">
            <x v="0"/>
          </reference>
          <reference field="0" count="1" selected="0">
            <x v="10"/>
          </reference>
        </references>
      </pivotArea>
    </chartFormat>
    <chartFormat chart="7" format="26">
      <pivotArea type="data" outline="0" fieldPosition="0">
        <references count="2">
          <reference field="4294967294" count="1" selected="0">
            <x v="0"/>
          </reference>
          <reference field="0" count="1" selected="0">
            <x v="11"/>
          </reference>
        </references>
      </pivotArea>
    </chartFormat>
    <chartFormat chart="7" format="27">
      <pivotArea type="data" outline="0" fieldPosition="0">
        <references count="2">
          <reference field="4294967294" count="1" selected="0">
            <x v="0"/>
          </reference>
          <reference field="0" count="1" selected="0">
            <x v="12"/>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 chart="2" format="4">
      <pivotArea type="data" outline="0" fieldPosition="0">
        <references count="2">
          <reference field="4294967294" count="1" selected="0">
            <x v="0"/>
          </reference>
          <reference field="0" count="1" selected="0">
            <x v="3"/>
          </reference>
        </references>
      </pivotArea>
    </chartFormat>
    <chartFormat chart="2" format="5">
      <pivotArea type="data" outline="0" fieldPosition="0">
        <references count="2">
          <reference field="4294967294" count="1" selected="0">
            <x v="0"/>
          </reference>
          <reference field="0" count="1" selected="0">
            <x v="4"/>
          </reference>
        </references>
      </pivotArea>
    </chartFormat>
    <chartFormat chart="2" format="6">
      <pivotArea type="data" outline="0" fieldPosition="0">
        <references count="2">
          <reference field="4294967294" count="1" selected="0">
            <x v="0"/>
          </reference>
          <reference field="0" count="1" selected="0">
            <x v="5"/>
          </reference>
        </references>
      </pivotArea>
    </chartFormat>
    <chartFormat chart="2" format="7">
      <pivotArea type="data" outline="0" fieldPosition="0">
        <references count="2">
          <reference field="4294967294" count="1" selected="0">
            <x v="0"/>
          </reference>
          <reference field="0" count="1" selected="0">
            <x v="6"/>
          </reference>
        </references>
      </pivotArea>
    </chartFormat>
    <chartFormat chart="2" format="8">
      <pivotArea type="data" outline="0" fieldPosition="0">
        <references count="2">
          <reference field="4294967294" count="1" selected="0">
            <x v="0"/>
          </reference>
          <reference field="0" count="1" selected="0">
            <x v="7"/>
          </reference>
        </references>
      </pivotArea>
    </chartFormat>
    <chartFormat chart="2" format="9">
      <pivotArea type="data" outline="0" fieldPosition="0">
        <references count="2">
          <reference field="4294967294" count="1" selected="0">
            <x v="0"/>
          </reference>
          <reference field="0" count="1" selected="0">
            <x v="8"/>
          </reference>
        </references>
      </pivotArea>
    </chartFormat>
    <chartFormat chart="2" format="10">
      <pivotArea type="data" outline="0" fieldPosition="0">
        <references count="2">
          <reference field="4294967294" count="1" selected="0">
            <x v="0"/>
          </reference>
          <reference field="0" count="1" selected="0">
            <x v="9"/>
          </reference>
        </references>
      </pivotArea>
    </chartFormat>
    <chartFormat chart="2" format="11">
      <pivotArea type="data" outline="0" fieldPosition="0">
        <references count="2">
          <reference field="4294967294" count="1" selected="0">
            <x v="0"/>
          </reference>
          <reference field="0" count="1" selected="0">
            <x v="10"/>
          </reference>
        </references>
      </pivotArea>
    </chartFormat>
    <chartFormat chart="2" format="12">
      <pivotArea type="data" outline="0" fieldPosition="0">
        <references count="2">
          <reference field="4294967294" count="1" selected="0">
            <x v="0"/>
          </reference>
          <reference field="0" count="1" selected="0">
            <x v="11"/>
          </reference>
        </references>
      </pivotArea>
    </chartFormat>
    <chartFormat chart="2" format="13">
      <pivotArea type="data" outline="0" fieldPosition="0">
        <references count="2">
          <reference field="4294967294" count="1" selected="0">
            <x v="0"/>
          </reference>
          <reference field="0"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 ">
  <location ref="A3:C16" firstHeaderRow="0" firstDataRow="1" firstDataCol="1"/>
  <pivotFields count="27">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546">
        <item x="83"/>
        <item x="222"/>
        <item x="417"/>
        <item x="426"/>
        <item x="251"/>
        <item x="296"/>
        <item x="220"/>
        <item x="126"/>
        <item x="396"/>
        <item x="189"/>
        <item x="515"/>
        <item x="405"/>
        <item x="420"/>
        <item x="72"/>
        <item x="70"/>
        <item x="166"/>
        <item x="112"/>
        <item x="9"/>
        <item x="452"/>
        <item x="64"/>
        <item x="413"/>
        <item x="43"/>
        <item x="235"/>
        <item x="87"/>
        <item x="0"/>
        <item x="218"/>
        <item x="239"/>
        <item x="510"/>
        <item x="49"/>
        <item x="280"/>
        <item x="434"/>
        <item x="82"/>
        <item x="187"/>
        <item x="250"/>
        <item x="544"/>
        <item x="435"/>
        <item x="147"/>
        <item x="419"/>
        <item x="21"/>
        <item x="265"/>
        <item x="433"/>
        <item x="383"/>
        <item x="86"/>
        <item x="393"/>
        <item x="158"/>
        <item x="255"/>
        <item x="90"/>
        <item x="270"/>
        <item x="238"/>
        <item x="142"/>
        <item x="231"/>
        <item x="146"/>
        <item x="223"/>
        <item x="78"/>
        <item x="431"/>
        <item x="379"/>
        <item x="260"/>
        <item x="283"/>
        <item x="440"/>
        <item x="391"/>
        <item x="411"/>
        <item x="443"/>
        <item x="103"/>
        <item x="489"/>
        <item x="286"/>
        <item x="412"/>
        <item x="91"/>
        <item x="162"/>
        <item x="74"/>
        <item x="168"/>
        <item x="272"/>
        <item x="197"/>
        <item x="2"/>
        <item x="278"/>
        <item x="432"/>
        <item x="461"/>
        <item x="367"/>
        <item x="377"/>
        <item x="248"/>
        <item x="485"/>
        <item x="217"/>
        <item x="56"/>
        <item x="350"/>
        <item x="454"/>
        <item x="410"/>
        <item x="351"/>
        <item x="481"/>
        <item x="425"/>
        <item x="275"/>
        <item x="495"/>
        <item x="429"/>
        <item x="252"/>
        <item x="532"/>
        <item x="320"/>
        <item x="527"/>
        <item x="403"/>
        <item x="324"/>
        <item x="75"/>
        <item x="316"/>
        <item x="422"/>
        <item x="511"/>
        <item x="16"/>
        <item x="13"/>
        <item x="28"/>
        <item x="267"/>
        <item x="17"/>
        <item x="27"/>
        <item x="77"/>
        <item x="244"/>
        <item x="475"/>
        <item x="493"/>
        <item x="488"/>
        <item x="327"/>
        <item x="478"/>
        <item x="213"/>
        <item x="453"/>
        <item x="364"/>
        <item x="333"/>
        <item x="271"/>
        <item x="157"/>
        <item x="517"/>
        <item x="370"/>
        <item x="57"/>
        <item x="253"/>
        <item x="214"/>
        <item x="399"/>
        <item x="63"/>
        <item x="3"/>
        <item x="249"/>
        <item x="465"/>
        <item x="284"/>
        <item x="400"/>
        <item x="381"/>
        <item x="279"/>
        <item x="212"/>
        <item x="111"/>
        <item x="519"/>
        <item x="209"/>
        <item x="176"/>
        <item x="262"/>
        <item x="407"/>
        <item x="358"/>
        <item x="459"/>
        <item x="499"/>
        <item x="418"/>
        <item x="471"/>
        <item x="273"/>
        <item x="41"/>
        <item x="398"/>
        <item x="382"/>
        <item x="439"/>
        <item x="446"/>
        <item x="334"/>
        <item x="258"/>
        <item x="203"/>
        <item x="42"/>
        <item x="424"/>
        <item x="330"/>
        <item x="167"/>
        <item x="357"/>
        <item x="107"/>
        <item x="163"/>
        <item x="181"/>
        <item x="38"/>
        <item x="62"/>
        <item x="520"/>
        <item x="14"/>
        <item x="97"/>
        <item x="160"/>
        <item x="380"/>
        <item x="366"/>
        <item x="486"/>
        <item x="378"/>
        <item x="498"/>
        <item x="348"/>
        <item x="288"/>
        <item x="99"/>
        <item x="303"/>
        <item x="441"/>
        <item x="228"/>
        <item x="261"/>
        <item x="444"/>
        <item x="24"/>
        <item x="504"/>
        <item x="277"/>
        <item x="491"/>
        <item x="108"/>
        <item x="299"/>
        <item x="229"/>
        <item x="496"/>
        <item x="347"/>
        <item x="361"/>
        <item x="472"/>
        <item x="318"/>
        <item x="80"/>
        <item x="219"/>
        <item x="58"/>
        <item x="1"/>
        <item x="308"/>
        <item x="170"/>
        <item x="183"/>
        <item x="525"/>
        <item x="514"/>
        <item x="346"/>
        <item x="54"/>
        <item x="127"/>
        <item x="282"/>
        <item x="180"/>
        <item x="129"/>
        <item x="31"/>
        <item x="534"/>
        <item x="470"/>
        <item x="483"/>
        <item x="84"/>
        <item x="155"/>
        <item x="227"/>
        <item x="523"/>
        <item x="513"/>
        <item x="343"/>
        <item x="368"/>
        <item x="541"/>
        <item x="224"/>
        <item x="448"/>
        <item x="509"/>
        <item x="543"/>
        <item x="341"/>
        <item x="188"/>
        <item x="234"/>
        <item x="487"/>
        <item x="450"/>
        <item x="154"/>
        <item x="467"/>
        <item x="474"/>
        <item x="5"/>
        <item x="232"/>
        <item x="131"/>
        <item x="394"/>
        <item x="436"/>
        <item x="449"/>
        <item x="101"/>
        <item x="118"/>
        <item x="311"/>
        <item x="312"/>
        <item x="165"/>
        <item x="156"/>
        <item x="292"/>
        <item x="476"/>
        <item x="451"/>
        <item x="211"/>
        <item x="208"/>
        <item x="415"/>
        <item x="385"/>
        <item x="55"/>
        <item x="466"/>
        <item x="247"/>
        <item x="44"/>
        <item x="216"/>
        <item x="353"/>
        <item x="490"/>
        <item x="65"/>
        <item x="264"/>
        <item x="73"/>
        <item x="20"/>
        <item x="539"/>
        <item x="484"/>
        <item x="285"/>
        <item x="25"/>
        <item x="505"/>
        <item x="473"/>
        <item x="178"/>
        <item x="375"/>
        <item x="281"/>
        <item x="301"/>
        <item x="257"/>
        <item x="533"/>
        <item x="133"/>
        <item x="387"/>
        <item x="39"/>
        <item x="337"/>
        <item x="215"/>
        <item x="29"/>
        <item x="542"/>
        <item x="199"/>
        <item x="518"/>
        <item x="128"/>
        <item x="300"/>
        <item x="521"/>
        <item x="175"/>
        <item x="106"/>
        <item x="530"/>
        <item x="538"/>
        <item x="447"/>
        <item x="352"/>
        <item x="114"/>
        <item x="35"/>
        <item x="120"/>
        <item x="456"/>
        <item x="192"/>
        <item x="480"/>
        <item x="207"/>
        <item x="68"/>
        <item x="304"/>
        <item x="540"/>
        <item x="306"/>
        <item x="529"/>
        <item x="295"/>
        <item x="307"/>
        <item x="309"/>
        <item x="79"/>
        <item x="69"/>
        <item x="196"/>
        <item x="522"/>
        <item x="477"/>
        <item x="537"/>
        <item x="198"/>
        <item x="336"/>
        <item x="290"/>
        <item x="122"/>
        <item x="297"/>
        <item x="331"/>
        <item x="66"/>
        <item x="371"/>
        <item x="259"/>
        <item x="169"/>
        <item x="414"/>
        <item x="182"/>
        <item x="117"/>
        <item x="268"/>
        <item x="376"/>
        <item x="355"/>
        <item x="151"/>
        <item x="328"/>
        <item x="123"/>
        <item x="457"/>
        <item x="494"/>
        <item x="536"/>
        <item x="243"/>
        <item x="373"/>
        <item x="33"/>
        <item x="528"/>
        <item x="345"/>
        <item x="263"/>
        <item x="254"/>
        <item x="500"/>
        <item x="468"/>
        <item x="408"/>
        <item x="205"/>
        <item x="305"/>
        <item x="115"/>
        <item x="416"/>
        <item x="159"/>
        <item x="125"/>
        <item x="210"/>
        <item x="139"/>
        <item x="242"/>
        <item x="40"/>
        <item x="92"/>
        <item x="202"/>
        <item x="428"/>
        <item x="445"/>
        <item x="463"/>
        <item x="246"/>
        <item x="369"/>
        <item x="442"/>
        <item x="85"/>
        <item x="344"/>
        <item x="460"/>
        <item x="121"/>
        <item x="47"/>
        <item x="298"/>
        <item x="184"/>
        <item x="130"/>
        <item x="50"/>
        <item x="7"/>
        <item x="512"/>
        <item x="10"/>
        <item x="93"/>
        <item x="310"/>
        <item x="372"/>
        <item x="340"/>
        <item x="119"/>
        <item x="365"/>
        <item x="135"/>
        <item x="531"/>
        <item x="354"/>
        <item x="386"/>
        <item x="502"/>
        <item x="497"/>
        <item x="384"/>
        <item x="349"/>
        <item x="140"/>
        <item x="325"/>
        <item x="319"/>
        <item x="6"/>
        <item x="148"/>
        <item x="430"/>
        <item x="76"/>
        <item x="113"/>
        <item x="338"/>
        <item x="469"/>
        <item x="322"/>
        <item x="34"/>
        <item x="524"/>
        <item x="302"/>
        <item x="402"/>
        <item x="102"/>
        <item x="230"/>
        <item x="266"/>
        <item x="124"/>
        <item x="32"/>
        <item x="67"/>
        <item x="274"/>
        <item x="326"/>
        <item x="404"/>
        <item x="332"/>
        <item x="71"/>
        <item x="88"/>
        <item x="455"/>
        <item x="52"/>
        <item x="362"/>
        <item x="150"/>
        <item x="206"/>
        <item x="501"/>
        <item x="143"/>
        <item x="30"/>
        <item x="388"/>
        <item x="409"/>
        <item x="104"/>
        <item x="94"/>
        <item x="256"/>
        <item x="395"/>
        <item x="8"/>
        <item x="145"/>
        <item x="464"/>
        <item x="109"/>
        <item x="190"/>
        <item x="339"/>
        <item x="360"/>
        <item x="389"/>
        <item x="194"/>
        <item x="116"/>
        <item x="136"/>
        <item x="161"/>
        <item x="46"/>
        <item x="269"/>
        <item x="141"/>
        <item x="110"/>
        <item x="137"/>
        <item x="236"/>
        <item x="61"/>
        <item x="479"/>
        <item x="144"/>
        <item x="392"/>
        <item x="48"/>
        <item x="406"/>
        <item x="23"/>
        <item x="503"/>
        <item x="397"/>
        <item x="191"/>
        <item x="329"/>
        <item x="105"/>
        <item x="221"/>
        <item x="427"/>
        <item x="335"/>
        <item x="4"/>
        <item x="315"/>
        <item x="458"/>
        <item x="226"/>
        <item x="313"/>
        <item x="314"/>
        <item x="492"/>
        <item x="186"/>
        <item x="185"/>
        <item x="132"/>
        <item x="177"/>
        <item x="134"/>
        <item x="204"/>
        <item x="390"/>
        <item x="195"/>
        <item x="179"/>
        <item x="287"/>
        <item x="233"/>
        <item x="356"/>
        <item x="516"/>
        <item x="438"/>
        <item x="321"/>
        <item x="89"/>
        <item x="535"/>
        <item x="317"/>
        <item x="423"/>
        <item x="15"/>
        <item x="276"/>
        <item x="193"/>
        <item x="51"/>
        <item x="359"/>
        <item x="96"/>
        <item x="60"/>
        <item x="26"/>
        <item x="289"/>
        <item x="45"/>
        <item x="36"/>
        <item x="164"/>
        <item x="201"/>
        <item x="59"/>
        <item x="291"/>
        <item x="294"/>
        <item x="12"/>
        <item x="11"/>
        <item x="174"/>
        <item x="462"/>
        <item x="171"/>
        <item x="138"/>
        <item x="53"/>
        <item x="323"/>
        <item x="293"/>
        <item x="22"/>
        <item x="19"/>
        <item x="363"/>
        <item x="506"/>
        <item x="153"/>
        <item x="98"/>
        <item x="237"/>
        <item x="482"/>
        <item x="149"/>
        <item x="437"/>
        <item x="172"/>
        <item x="95"/>
        <item x="401"/>
        <item x="421"/>
        <item x="507"/>
        <item x="81"/>
        <item x="508"/>
        <item x="100"/>
        <item x="173"/>
        <item x="37"/>
        <item x="200"/>
        <item x="240"/>
        <item x="526"/>
        <item x="18"/>
        <item x="342"/>
        <item x="245"/>
        <item x="374"/>
        <item x="225"/>
        <item x="241"/>
        <item x="152"/>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0"/>
  </rowFields>
  <rowItems count="13">
    <i>
      <x v="1"/>
    </i>
    <i>
      <x v="2"/>
    </i>
    <i>
      <x v="3"/>
    </i>
    <i>
      <x v="4"/>
    </i>
    <i>
      <x v="5"/>
    </i>
    <i>
      <x v="6"/>
    </i>
    <i>
      <x v="7"/>
    </i>
    <i>
      <x v="8"/>
    </i>
    <i>
      <x v="9"/>
    </i>
    <i>
      <x v="10"/>
    </i>
    <i>
      <x v="11"/>
    </i>
    <i>
      <x v="12"/>
    </i>
    <i t="grand">
      <x/>
    </i>
  </rowItems>
  <colFields count="1">
    <field x="-2"/>
  </colFields>
  <colItems count="2">
    <i>
      <x/>
    </i>
    <i i="1">
      <x v="1"/>
    </i>
  </colItems>
  <dataFields count="2">
    <dataField name="Average of Max speed (m/s)" fld="11" subtotal="average" baseField="0" baseItem="1"/>
    <dataField name="Average of Min speed (m/s)" fld="12" subtotal="average" baseField="0" baseItem="1"/>
  </dataFields>
  <chartFormats count="4">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0:C23" firstHeaderRow="0" firstDataRow="1" firstDataCol="1"/>
  <pivotFields count="27">
    <pivotField axis="axisRow" numFmtId="14" showAll="0">
      <items count="15">
        <item x="0"/>
        <item x="1"/>
        <item x="2"/>
        <item x="3"/>
        <item x="4"/>
        <item x="5"/>
        <item x="6"/>
        <item x="7"/>
        <item x="8"/>
        <item x="9"/>
        <item x="10"/>
        <item x="11"/>
        <item x="12"/>
        <item x="13"/>
        <item t="default"/>
      </items>
    </pivotField>
    <pivotField showAll="0"/>
    <pivotField showAll="0">
      <items count="533">
        <item x="0"/>
        <item x="531"/>
        <item x="502"/>
        <item x="504"/>
        <item x="56"/>
        <item x="73"/>
        <item x="64"/>
        <item x="218"/>
        <item x="243"/>
        <item x="240"/>
        <item x="9"/>
        <item x="140"/>
        <item x="370"/>
        <item x="49"/>
        <item x="80"/>
        <item x="212"/>
        <item x="215"/>
        <item x="400"/>
        <item x="214"/>
        <item x="422"/>
        <item x="233"/>
        <item x="209"/>
        <item x="43"/>
        <item x="288"/>
        <item x="81"/>
        <item x="395"/>
        <item x="205"/>
        <item x="439"/>
        <item x="206"/>
        <item x="75"/>
        <item x="83"/>
        <item x="210"/>
        <item x="70"/>
        <item x="281"/>
        <item x="67"/>
        <item x="106"/>
        <item x="141"/>
        <item x="7"/>
        <item x="195"/>
        <item x="421"/>
        <item x="237"/>
        <item x="76"/>
        <item x="277"/>
        <item x="263"/>
        <item x="448"/>
        <item x="265"/>
        <item x="401"/>
        <item x="257"/>
        <item x="74"/>
        <item x="270"/>
        <item x="230"/>
        <item x="358"/>
        <item x="42"/>
        <item x="226"/>
        <item x="430"/>
        <item x="2"/>
        <item x="344"/>
        <item x="498"/>
        <item x="159"/>
        <item x="416"/>
        <item x="413"/>
        <item x="82"/>
        <item x="407"/>
        <item x="201"/>
        <item x="268"/>
        <item x="272"/>
        <item x="388"/>
        <item x="202"/>
        <item x="274"/>
        <item x="253"/>
        <item x="420"/>
        <item x="227"/>
        <item x="78"/>
        <item x="55"/>
        <item x="72"/>
        <item x="424"/>
        <item x="306"/>
        <item x="21"/>
        <item x="252"/>
        <item x="384"/>
        <item x="273"/>
        <item x="313"/>
        <item x="127"/>
        <item x="241"/>
        <item x="88"/>
        <item x="13"/>
        <item x="506"/>
        <item x="71"/>
        <item x="374"/>
        <item x="361"/>
        <item x="180"/>
        <item x="86"/>
        <item x="181"/>
        <item x="217"/>
        <item x="409"/>
        <item x="161"/>
        <item x="14"/>
        <item x="275"/>
        <item x="433"/>
        <item x="259"/>
        <item x="519"/>
        <item x="503"/>
        <item x="254"/>
        <item x="220"/>
        <item x="278"/>
        <item x="334"/>
        <item x="496"/>
        <item x="156"/>
        <item x="419"/>
        <item x="426"/>
        <item x="222"/>
        <item x="150"/>
        <item x="41"/>
        <item x="134"/>
        <item x="126"/>
        <item x="262"/>
        <item x="100"/>
        <item x="68"/>
        <item x="247"/>
        <item x="341"/>
        <item x="459"/>
        <item x="234"/>
        <item x="296"/>
        <item x="412"/>
        <item x="367"/>
        <item x="497"/>
        <item x="469"/>
        <item x="523"/>
        <item x="276"/>
        <item x="382"/>
        <item x="406"/>
        <item x="94"/>
        <item x="436"/>
        <item x="157"/>
        <item x="260"/>
        <item x="1"/>
        <item x="223"/>
        <item x="280"/>
        <item x="250"/>
        <item x="57"/>
        <item x="117"/>
        <item x="441"/>
        <item x="443"/>
        <item x="3"/>
        <item x="517"/>
        <item x="372"/>
        <item x="213"/>
        <item x="476"/>
        <item x="120"/>
        <item x="186"/>
        <item x="236"/>
        <item x="221"/>
        <item x="373"/>
        <item x="143"/>
        <item x="172"/>
        <item x="452"/>
        <item x="368"/>
        <item x="490"/>
        <item x="418"/>
        <item x="208"/>
        <item x="438"/>
        <item x="346"/>
        <item x="125"/>
        <item x="354"/>
        <item x="65"/>
        <item x="402"/>
        <item x="355"/>
        <item x="390"/>
        <item x="192"/>
        <item x="79"/>
        <item x="85"/>
        <item x="24"/>
        <item x="116"/>
        <item x="231"/>
        <item x="340"/>
        <item x="29"/>
        <item x="16"/>
        <item x="197"/>
        <item x="155"/>
        <item x="47"/>
        <item x="4"/>
        <item x="357"/>
        <item x="375"/>
        <item x="145"/>
        <item x="144"/>
        <item x="415"/>
        <item x="255"/>
        <item x="371"/>
        <item x="389"/>
        <item x="87"/>
        <item x="445"/>
        <item x="417"/>
        <item x="352"/>
        <item x="27"/>
        <item x="398"/>
        <item x="516"/>
        <item x="58"/>
        <item x="25"/>
        <item x="22"/>
        <item x="403"/>
        <item x="110"/>
        <item x="121"/>
        <item x="138"/>
        <item x="136"/>
        <item x="458"/>
        <item x="137"/>
        <item x="292"/>
        <item x="477"/>
        <item x="465"/>
        <item x="393"/>
        <item x="40"/>
        <item x="511"/>
        <item x="289"/>
        <item x="235"/>
        <item x="249"/>
        <item x="258"/>
        <item x="39"/>
        <item x="17"/>
        <item x="60"/>
        <item x="378"/>
        <item x="467"/>
        <item x="62"/>
        <item x="54"/>
        <item x="530"/>
        <item x="460"/>
        <item x="66"/>
        <item x="405"/>
        <item x="151"/>
        <item x="392"/>
        <item x="194"/>
        <item x="130"/>
        <item x="26"/>
        <item x="129"/>
        <item x="96"/>
        <item x="427"/>
        <item x="184"/>
        <item x="103"/>
        <item x="432"/>
        <item x="387"/>
        <item x="168"/>
        <item x="31"/>
        <item x="444"/>
        <item x="343"/>
        <item x="298"/>
        <item x="199"/>
        <item x="18"/>
        <item x="304"/>
        <item x="525"/>
        <item x="383"/>
        <item x="50"/>
        <item x="154"/>
        <item x="203"/>
        <item x="93"/>
        <item x="189"/>
        <item x="90"/>
        <item x="279"/>
        <item x="483"/>
        <item x="440"/>
        <item x="457"/>
        <item x="124"/>
        <item x="478"/>
        <item x="147"/>
        <item x="264"/>
        <item x="10"/>
        <item x="204"/>
        <item x="518"/>
        <item x="320"/>
        <item x="267"/>
        <item x="173"/>
        <item x="11"/>
        <item x="453"/>
        <item x="239"/>
        <item x="35"/>
        <item x="333"/>
        <item x="271"/>
        <item x="28"/>
        <item x="216"/>
        <item x="123"/>
        <item x="229"/>
        <item x="149"/>
        <item x="95"/>
        <item x="51"/>
        <item x="63"/>
        <item x="135"/>
        <item x="148"/>
        <item x="122"/>
        <item x="397"/>
        <item x="165"/>
        <item x="514"/>
        <item x="428"/>
        <item x="295"/>
        <item x="487"/>
        <item x="472"/>
        <item x="91"/>
        <item x="169"/>
        <item x="36"/>
        <item x="20"/>
        <item x="363"/>
        <item x="488"/>
        <item x="464"/>
        <item x="211"/>
        <item x="118"/>
        <item x="251"/>
        <item x="284"/>
        <item x="521"/>
        <item x="319"/>
        <item x="174"/>
        <item x="330"/>
        <item x="152"/>
        <item x="454"/>
        <item x="474"/>
        <item x="228"/>
        <item x="89"/>
        <item x="185"/>
        <item x="410"/>
        <item x="364"/>
        <item x="269"/>
        <item x="348"/>
        <item x="481"/>
        <item x="509"/>
        <item x="84"/>
        <item x="325"/>
        <item x="485"/>
        <item x="37"/>
        <item x="360"/>
        <item x="48"/>
        <item x="365"/>
        <item x="349"/>
        <item x="437"/>
        <item x="513"/>
        <item x="515"/>
        <item x="46"/>
        <item x="431"/>
        <item x="23"/>
        <item x="115"/>
        <item x="332"/>
        <item x="385"/>
        <item x="112"/>
        <item x="158"/>
        <item x="53"/>
        <item x="261"/>
        <item x="328"/>
        <item x="245"/>
        <item x="207"/>
        <item x="425"/>
        <item x="505"/>
        <item x="44"/>
        <item x="462"/>
        <item x="522"/>
        <item x="451"/>
        <item x="153"/>
        <item x="102"/>
        <item x="507"/>
        <item x="303"/>
        <item x="447"/>
        <item x="12"/>
        <item x="484"/>
        <item x="463"/>
        <item x="225"/>
        <item x="101"/>
        <item x="461"/>
        <item x="314"/>
        <item x="323"/>
        <item x="52"/>
        <item x="232"/>
        <item x="468"/>
        <item x="316"/>
        <item x="342"/>
        <item x="386"/>
        <item x="429"/>
        <item x="182"/>
        <item x="336"/>
        <item x="473"/>
        <item x="256"/>
        <item x="369"/>
        <item x="338"/>
        <item x="399"/>
        <item x="312"/>
        <item x="114"/>
        <item x="104"/>
        <item x="5"/>
        <item x="471"/>
        <item x="404"/>
        <item x="466"/>
        <item x="331"/>
        <item x="435"/>
        <item x="19"/>
        <item x="246"/>
        <item x="300"/>
        <item x="302"/>
        <item x="38"/>
        <item x="191"/>
        <item x="318"/>
        <item x="293"/>
        <item x="356"/>
        <item x="482"/>
        <item x="309"/>
        <item x="414"/>
        <item x="242"/>
        <item x="193"/>
        <item x="480"/>
        <item x="176"/>
        <item x="501"/>
        <item x="294"/>
        <item x="529"/>
        <item x="317"/>
        <item x="164"/>
        <item x="69"/>
        <item x="188"/>
        <item x="492"/>
        <item x="527"/>
        <item x="171"/>
        <item x="133"/>
        <item x="329"/>
        <item x="449"/>
        <item x="524"/>
        <item x="396"/>
        <item x="163"/>
        <item x="408"/>
        <item x="411"/>
        <item x="266"/>
        <item x="366"/>
        <item x="350"/>
        <item x="491"/>
        <item x="345"/>
        <item x="446"/>
        <item x="486"/>
        <item x="224"/>
        <item x="142"/>
        <item x="359"/>
        <item x="450"/>
        <item x="394"/>
        <item x="337"/>
        <item x="308"/>
        <item x="167"/>
        <item x="299"/>
        <item x="190"/>
        <item x="196"/>
        <item x="311"/>
        <item x="310"/>
        <item x="132"/>
        <item x="353"/>
        <item x="146"/>
        <item x="59"/>
        <item x="8"/>
        <item x="315"/>
        <item x="283"/>
        <item x="508"/>
        <item x="128"/>
        <item x="528"/>
        <item x="379"/>
        <item x="248"/>
        <item x="456"/>
        <item x="290"/>
        <item x="324"/>
        <item x="526"/>
        <item x="61"/>
        <item x="108"/>
        <item x="111"/>
        <item x="183"/>
        <item x="166"/>
        <item x="287"/>
        <item x="119"/>
        <item x="105"/>
        <item x="160"/>
        <item x="6"/>
        <item x="92"/>
        <item x="512"/>
        <item x="77"/>
        <item x="442"/>
        <item x="301"/>
        <item x="107"/>
        <item x="475"/>
        <item x="109"/>
        <item x="326"/>
        <item x="362"/>
        <item x="162"/>
        <item x="376"/>
        <item x="321"/>
        <item x="520"/>
        <item x="479"/>
        <item x="175"/>
        <item x="131"/>
        <item x="244"/>
        <item x="291"/>
        <item x="335"/>
        <item x="282"/>
        <item x="297"/>
        <item x="285"/>
        <item x="32"/>
        <item x="455"/>
        <item x="494"/>
        <item x="99"/>
        <item x="493"/>
        <item x="33"/>
        <item x="198"/>
        <item x="391"/>
        <item x="339"/>
        <item x="347"/>
        <item x="15"/>
        <item x="170"/>
        <item x="238"/>
        <item x="139"/>
        <item x="307"/>
        <item x="113"/>
        <item x="470"/>
        <item x="219"/>
        <item x="305"/>
        <item x="381"/>
        <item x="97"/>
        <item x="499"/>
        <item x="286"/>
        <item x="200"/>
        <item x="30"/>
        <item x="489"/>
        <item x="380"/>
        <item x="322"/>
        <item x="434"/>
        <item x="45"/>
        <item x="423"/>
        <item x="500"/>
        <item x="327"/>
        <item x="377"/>
        <item x="351"/>
        <item x="510"/>
        <item x="187"/>
        <item x="98"/>
        <item x="34"/>
        <item x="495"/>
        <item x="179"/>
        <item x="177"/>
        <item x="17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332">
        <item x="139"/>
        <item x="261"/>
        <item x="157"/>
        <item x="191"/>
        <item x="231"/>
        <item x="276"/>
        <item x="117"/>
        <item x="257"/>
        <item x="288"/>
        <item x="165"/>
        <item x="216"/>
        <item x="249"/>
        <item x="243"/>
        <item x="99"/>
        <item x="269"/>
        <item x="286"/>
        <item x="198"/>
        <item x="226"/>
        <item x="298"/>
        <item x="15"/>
        <item x="186"/>
        <item x="80"/>
        <item x="141"/>
        <item x="218"/>
        <item x="133"/>
        <item x="91"/>
        <item x="156"/>
        <item x="292"/>
        <item x="120"/>
        <item x="24"/>
        <item x="58"/>
        <item x="115"/>
        <item x="36"/>
        <item x="73"/>
        <item x="121"/>
        <item x="258"/>
        <item x="95"/>
        <item x="296"/>
        <item x="93"/>
        <item x="71"/>
        <item x="146"/>
        <item x="308"/>
        <item x="158"/>
        <item x="228"/>
        <item x="132"/>
        <item x="118"/>
        <item x="289"/>
        <item x="127"/>
        <item x="94"/>
        <item x="142"/>
        <item x="267"/>
        <item x="277"/>
        <item x="78"/>
        <item x="322"/>
        <item x="211"/>
        <item x="45"/>
        <item x="178"/>
        <item x="281"/>
        <item x="181"/>
        <item x="300"/>
        <item x="282"/>
        <item x="205"/>
        <item x="232"/>
        <item x="275"/>
        <item x="241"/>
        <item x="77"/>
        <item x="301"/>
        <item x="111"/>
        <item x="173"/>
        <item x="207"/>
        <item x="110"/>
        <item x="253"/>
        <item x="260"/>
        <item x="7"/>
        <item x="27"/>
        <item x="294"/>
        <item x="79"/>
        <item x="113"/>
        <item x="154"/>
        <item x="76"/>
        <item x="283"/>
        <item x="38"/>
        <item x="239"/>
        <item x="136"/>
        <item x="176"/>
        <item x="184"/>
        <item x="112"/>
        <item x="316"/>
        <item x="248"/>
        <item x="51"/>
        <item x="330"/>
        <item x="172"/>
        <item x="265"/>
        <item x="102"/>
        <item x="278"/>
        <item x="109"/>
        <item x="326"/>
        <item x="49"/>
        <item x="323"/>
        <item x="124"/>
        <item x="83"/>
        <item x="23"/>
        <item x="309"/>
        <item x="280"/>
        <item x="242"/>
        <item x="119"/>
        <item x="72"/>
        <item x="293"/>
        <item x="46"/>
        <item x="34"/>
        <item x="206"/>
        <item x="87"/>
        <item x="217"/>
        <item x="224"/>
        <item x="53"/>
        <item x="194"/>
        <item x="55"/>
        <item x="28"/>
        <item x="59"/>
        <item x="145"/>
        <item x="98"/>
        <item x="305"/>
        <item x="18"/>
        <item x="104"/>
        <item x="274"/>
        <item x="81"/>
        <item x="252"/>
        <item x="100"/>
        <item x="2"/>
        <item x="199"/>
        <item x="125"/>
        <item x="67"/>
        <item x="11"/>
        <item x="30"/>
        <item x="20"/>
        <item x="279"/>
        <item x="183"/>
        <item x="266"/>
        <item x="270"/>
        <item x="128"/>
        <item x="66"/>
        <item x="129"/>
        <item x="101"/>
        <item x="97"/>
        <item x="182"/>
        <item x="240"/>
        <item x="285"/>
        <item x="213"/>
        <item x="328"/>
        <item x="29"/>
        <item x="14"/>
        <item x="54"/>
        <item x="307"/>
        <item x="88"/>
        <item x="235"/>
        <item x="105"/>
        <item x="223"/>
        <item x="324"/>
        <item x="3"/>
        <item x="131"/>
        <item x="21"/>
        <item x="137"/>
        <item x="50"/>
        <item x="317"/>
        <item x="246"/>
        <item x="214"/>
        <item x="92"/>
        <item x="302"/>
        <item x="319"/>
        <item x="130"/>
        <item x="303"/>
        <item x="171"/>
        <item x="174"/>
        <item x="42"/>
        <item x="220"/>
        <item x="299"/>
        <item x="190"/>
        <item x="35"/>
        <item x="6"/>
        <item x="140"/>
        <item x="107"/>
        <item x="306"/>
        <item x="126"/>
        <item x="40"/>
        <item x="155"/>
        <item x="238"/>
        <item x="31"/>
        <item x="297"/>
        <item x="287"/>
        <item x="250"/>
        <item x="209"/>
        <item x="244"/>
        <item x="284"/>
        <item x="10"/>
        <item x="259"/>
        <item x="210"/>
        <item x="312"/>
        <item x="138"/>
        <item x="273"/>
        <item x="17"/>
        <item x="143"/>
        <item x="43"/>
        <item x="295"/>
        <item x="96"/>
        <item x="164"/>
        <item x="48"/>
        <item x="163"/>
        <item x="1"/>
        <item x="271"/>
        <item x="179"/>
        <item x="203"/>
        <item x="272"/>
        <item x="247"/>
        <item x="313"/>
        <item x="162"/>
        <item x="237"/>
        <item x="255"/>
        <item x="315"/>
        <item x="108"/>
        <item x="61"/>
        <item x="320"/>
        <item x="52"/>
        <item x="65"/>
        <item x="135"/>
        <item x="262"/>
        <item x="185"/>
        <item x="189"/>
        <item x="187"/>
        <item x="175"/>
        <item x="114"/>
        <item x="318"/>
        <item x="268"/>
        <item x="106"/>
        <item x="304"/>
        <item x="197"/>
        <item x="227"/>
        <item x="56"/>
        <item x="47"/>
        <item x="321"/>
        <item x="74"/>
        <item x="236"/>
        <item x="89"/>
        <item x="180"/>
        <item x="147"/>
        <item x="222"/>
        <item x="149"/>
        <item x="4"/>
        <item x="225"/>
        <item x="16"/>
        <item x="264"/>
        <item x="170"/>
        <item x="327"/>
        <item x="290"/>
        <item x="9"/>
        <item x="13"/>
        <item x="196"/>
        <item x="314"/>
        <item x="41"/>
        <item x="215"/>
        <item x="325"/>
        <item x="167"/>
        <item x="310"/>
        <item x="68"/>
        <item x="5"/>
        <item x="221"/>
        <item x="245"/>
        <item x="291"/>
        <item x="86"/>
        <item x="75"/>
        <item x="201"/>
        <item x="234"/>
        <item x="168"/>
        <item x="177"/>
        <item x="229"/>
        <item x="233"/>
        <item x="103"/>
        <item x="160"/>
        <item x="70"/>
        <item x="12"/>
        <item x="329"/>
        <item x="123"/>
        <item x="116"/>
        <item x="219"/>
        <item x="85"/>
        <item x="90"/>
        <item x="263"/>
        <item x="122"/>
        <item x="254"/>
        <item x="144"/>
        <item x="82"/>
        <item x="33"/>
        <item x="8"/>
        <item x="195"/>
        <item x="39"/>
        <item x="230"/>
        <item x="62"/>
        <item x="60"/>
        <item x="69"/>
        <item x="311"/>
        <item x="192"/>
        <item x="32"/>
        <item x="188"/>
        <item x="166"/>
        <item x="84"/>
        <item x="37"/>
        <item x="19"/>
        <item x="64"/>
        <item x="25"/>
        <item x="22"/>
        <item x="208"/>
        <item x="161"/>
        <item x="212"/>
        <item x="256"/>
        <item x="251"/>
        <item x="202"/>
        <item x="134"/>
        <item x="152"/>
        <item x="200"/>
        <item x="153"/>
        <item x="204"/>
        <item x="44"/>
        <item x="169"/>
        <item x="193"/>
        <item x="159"/>
        <item x="63"/>
        <item x="150"/>
        <item x="148"/>
        <item x="26"/>
        <item x="151"/>
        <item x="57"/>
        <item x="0"/>
        <item t="default"/>
      </items>
    </pivotField>
    <pivotField showAll="0">
      <items count="6">
        <item x="4"/>
        <item x="3"/>
        <item x="2"/>
        <item x="1"/>
        <item x="0"/>
        <item t="default"/>
      </items>
    </pivotField>
    <pivotField dataField="1" showAll="0">
      <items count="531">
        <item x="63"/>
        <item x="216"/>
        <item x="241"/>
        <item x="238"/>
        <item x="9"/>
        <item x="138"/>
        <item x="368"/>
        <item x="411"/>
        <item x="474"/>
        <item x="229"/>
        <item x="118"/>
        <item x="49"/>
        <item x="500"/>
        <item x="78"/>
        <item x="210"/>
        <item x="213"/>
        <item x="398"/>
        <item x="212"/>
        <item x="67"/>
        <item x="420"/>
        <item x="231"/>
        <item x="207"/>
        <item x="43"/>
        <item x="286"/>
        <item x="79"/>
        <item x="393"/>
        <item x="203"/>
        <item x="148"/>
        <item x="437"/>
        <item x="204"/>
        <item x="73"/>
        <item x="81"/>
        <item x="517"/>
        <item x="208"/>
        <item x="69"/>
        <item x="279"/>
        <item x="234"/>
        <item x="66"/>
        <item x="352"/>
        <item x="104"/>
        <item x="64"/>
        <item x="139"/>
        <item x="7"/>
        <item x="193"/>
        <item x="419"/>
        <item x="124"/>
        <item x="235"/>
        <item x="74"/>
        <item x="275"/>
        <item x="261"/>
        <item x="446"/>
        <item x="70"/>
        <item x="496"/>
        <item x="263"/>
        <item x="399"/>
        <item x="255"/>
        <item x="72"/>
        <item x="268"/>
        <item x="132"/>
        <item x="372"/>
        <item x="16"/>
        <item x="529"/>
        <item x="228"/>
        <item x="356"/>
        <item x="42"/>
        <item x="224"/>
        <item x="3"/>
        <item x="422"/>
        <item x="135"/>
        <item x="428"/>
        <item x="24"/>
        <item x="2"/>
        <item x="342"/>
        <item x="56"/>
        <item x="157"/>
        <item x="240"/>
        <item x="92"/>
        <item x="414"/>
        <item x="450"/>
        <item x="80"/>
        <item x="405"/>
        <item x="199"/>
        <item x="495"/>
        <item x="266"/>
        <item x="270"/>
        <item x="386"/>
        <item x="200"/>
        <item x="502"/>
        <item x="272"/>
        <item x="251"/>
        <item x="418"/>
        <item x="225"/>
        <item x="76"/>
        <item x="55"/>
        <item x="71"/>
        <item x="83"/>
        <item x="304"/>
        <item x="21"/>
        <item x="250"/>
        <item x="243"/>
        <item x="382"/>
        <item x="271"/>
        <item x="134"/>
        <item x="311"/>
        <item x="404"/>
        <item x="125"/>
        <item x="239"/>
        <item x="115"/>
        <item x="388"/>
        <item x="457"/>
        <item x="143"/>
        <item x="86"/>
        <item x="396"/>
        <item x="13"/>
        <item x="98"/>
        <item x="242"/>
        <item x="359"/>
        <item x="441"/>
        <item x="178"/>
        <item x="195"/>
        <item x="25"/>
        <item x="84"/>
        <item x="290"/>
        <item x="179"/>
        <item x="332"/>
        <item x="511"/>
        <item x="215"/>
        <item x="407"/>
        <item x="159"/>
        <item x="154"/>
        <item x="94"/>
        <item x="10"/>
        <item x="14"/>
        <item x="365"/>
        <item x="273"/>
        <item x="431"/>
        <item x="494"/>
        <item x="4"/>
        <item x="401"/>
        <item x="350"/>
        <item x="257"/>
        <item x="294"/>
        <item x="410"/>
        <item x="252"/>
        <item x="218"/>
        <item x="101"/>
        <item x="276"/>
        <item x="44"/>
        <item x="417"/>
        <item x="47"/>
        <item x="244"/>
        <item x="424"/>
        <item x="17"/>
        <item x="22"/>
        <item x="344"/>
        <item x="278"/>
        <item x="220"/>
        <item x="141"/>
        <item x="201"/>
        <item x="41"/>
        <item x="237"/>
        <item x="465"/>
        <item x="68"/>
        <item x="61"/>
        <item x="85"/>
        <item x="435"/>
        <item x="108"/>
        <item x="504"/>
        <item x="65"/>
        <item x="260"/>
        <item x="53"/>
        <item x="385"/>
        <item x="190"/>
        <item x="402"/>
        <item x="245"/>
        <item x="20"/>
        <item x="339"/>
        <item x="113"/>
        <item x="328"/>
        <item x="387"/>
        <item x="123"/>
        <item x="100"/>
        <item x="192"/>
        <item x="232"/>
        <item x="52"/>
        <item x="361"/>
        <item x="413"/>
        <item x="163"/>
        <item x="467"/>
        <item x="114"/>
        <item x="403"/>
        <item x="400"/>
        <item x="274"/>
        <item x="353"/>
        <item x="380"/>
        <item x="103"/>
        <item x="227"/>
        <item x="381"/>
        <item x="442"/>
        <item x="38"/>
        <item x="89"/>
        <item x="26"/>
        <item x="371"/>
        <item x="54"/>
        <item x="11"/>
        <item x="18"/>
        <item x="434"/>
        <item x="142"/>
        <item x="317"/>
        <item x="443"/>
        <item x="119"/>
        <item x="211"/>
        <item x="50"/>
        <item x="214"/>
        <item x="155"/>
        <item x="39"/>
        <item x="258"/>
        <item x="1"/>
        <item x="528"/>
        <item x="221"/>
        <item x="248"/>
        <item x="51"/>
        <item x="390"/>
        <item x="355"/>
        <item x="485"/>
        <item x="463"/>
        <item x="112"/>
        <item x="82"/>
        <item x="127"/>
        <item x="436"/>
        <item x="102"/>
        <item x="439"/>
        <item x="59"/>
        <item x="370"/>
        <item x="57"/>
        <item x="408"/>
        <item x="470"/>
        <item x="209"/>
        <item x="184"/>
        <item x="219"/>
        <item x="95"/>
        <item x="91"/>
        <item x="331"/>
        <item x="166"/>
        <item x="395"/>
        <item x="170"/>
        <item x="133"/>
        <item x="285"/>
        <item x="145"/>
        <item x="366"/>
        <item x="501"/>
        <item x="383"/>
        <item x="147"/>
        <item x="488"/>
        <item x="416"/>
        <item x="206"/>
        <item x="476"/>
        <item x="302"/>
        <item x="152"/>
        <item x="409"/>
        <item x="136"/>
        <item x="187"/>
        <item x="233"/>
        <item x="475"/>
        <item x="521"/>
        <item x="202"/>
        <item x="40"/>
        <item x="451"/>
        <item x="346"/>
        <item x="93"/>
        <item x="88"/>
        <item x="77"/>
        <item x="36"/>
        <item x="358"/>
        <item x="347"/>
        <item x="335"/>
        <item x="87"/>
        <item x="458"/>
        <item x="391"/>
        <item x="334"/>
        <item x="122"/>
        <item x="456"/>
        <item x="19"/>
        <item x="362"/>
        <item x="171"/>
        <item x="338"/>
        <item x="29"/>
        <item x="37"/>
        <item x="522"/>
        <item x="182"/>
        <item x="312"/>
        <item x="48"/>
        <item x="153"/>
        <item x="369"/>
        <item x="373"/>
        <item x="510"/>
        <item x="299"/>
        <item x="452"/>
        <item x="298"/>
        <item x="376"/>
        <item x="253"/>
        <item x="197"/>
        <item x="321"/>
        <item x="449"/>
        <item x="415"/>
        <item x="327"/>
        <item x="27"/>
        <item x="287"/>
        <item x="121"/>
        <item x="120"/>
        <item x="518"/>
        <item x="512"/>
        <item x="384"/>
        <item x="367"/>
        <item x="167"/>
        <item x="205"/>
        <item x="406"/>
        <item x="300"/>
        <item x="363"/>
        <item x="318"/>
        <item x="249"/>
        <item x="336"/>
        <item x="58"/>
        <item x="296"/>
        <item x="186"/>
        <item x="172"/>
        <item x="486"/>
        <item x="8"/>
        <item x="509"/>
        <item x="462"/>
        <item x="329"/>
        <item x="247"/>
        <item x="301"/>
        <item x="256"/>
        <item x="506"/>
        <item x="433"/>
        <item x="310"/>
        <item x="128"/>
        <item x="460"/>
        <item x="236"/>
        <item x="514"/>
        <item x="149"/>
        <item x="326"/>
        <item x="146"/>
        <item x="341"/>
        <item x="131"/>
        <item x="116"/>
        <item x="357"/>
        <item x="226"/>
        <item x="425"/>
        <item x="394"/>
        <item x="472"/>
        <item x="430"/>
        <item x="254"/>
        <item x="46"/>
        <item x="523"/>
        <item x="466"/>
        <item x="314"/>
        <item x="28"/>
        <item x="31"/>
        <item x="5"/>
        <item x="183"/>
        <item x="479"/>
        <item x="291"/>
        <item x="277"/>
        <item x="481"/>
        <item x="438"/>
        <item x="516"/>
        <item x="99"/>
        <item x="455"/>
        <item x="130"/>
        <item x="262"/>
        <item x="519"/>
        <item x="515"/>
        <item x="513"/>
        <item x="230"/>
        <item x="126"/>
        <item x="265"/>
        <item x="364"/>
        <item x="461"/>
        <item x="189"/>
        <item x="35"/>
        <item x="269"/>
        <item x="333"/>
        <item x="480"/>
        <item x="412"/>
        <item x="45"/>
        <item x="105"/>
        <item x="308"/>
        <item x="459"/>
        <item x="478"/>
        <item x="23"/>
        <item x="323"/>
        <item x="297"/>
        <item x="330"/>
        <item x="60"/>
        <item x="62"/>
        <item x="292"/>
        <item x="12"/>
        <item x="483"/>
        <item x="150"/>
        <item x="426"/>
        <item x="293"/>
        <item x="444"/>
        <item x="324"/>
        <item x="129"/>
        <item x="448"/>
        <item x="288"/>
        <item x="191"/>
        <item x="282"/>
        <item x="289"/>
        <item x="340"/>
        <item x="397"/>
        <item x="306"/>
        <item x="490"/>
        <item x="162"/>
        <item x="497"/>
        <item x="354"/>
        <item x="165"/>
        <item x="315"/>
        <item x="267"/>
        <item x="464"/>
        <item x="520"/>
        <item x="445"/>
        <item x="180"/>
        <item x="447"/>
        <item x="160"/>
        <item x="316"/>
        <item x="429"/>
        <item x="337"/>
        <item x="392"/>
        <item x="307"/>
        <item x="109"/>
        <item x="423"/>
        <item x="161"/>
        <item x="295"/>
        <item x="374"/>
        <item x="110"/>
        <item x="156"/>
        <item x="492"/>
        <item x="348"/>
        <item x="194"/>
        <item x="471"/>
        <item x="259"/>
        <item x="360"/>
        <item x="351"/>
        <item x="343"/>
        <item x="503"/>
        <item x="188"/>
        <item x="117"/>
        <item x="151"/>
        <item x="473"/>
        <item x="106"/>
        <item x="440"/>
        <item x="144"/>
        <item x="322"/>
        <item x="482"/>
        <item x="223"/>
        <item x="309"/>
        <item x="427"/>
        <item x="489"/>
        <item x="345"/>
        <item x="319"/>
        <item x="173"/>
        <item x="164"/>
        <item x="469"/>
        <item x="505"/>
        <item x="107"/>
        <item x="140"/>
        <item x="325"/>
        <item x="484"/>
        <item x="508"/>
        <item x="313"/>
        <item x="15"/>
        <item x="174"/>
        <item x="477"/>
        <item x="181"/>
        <item x="377"/>
        <item x="198"/>
        <item x="527"/>
        <item x="169"/>
        <item x="75"/>
        <item x="507"/>
        <item x="264"/>
        <item x="491"/>
        <item x="499"/>
        <item x="526"/>
        <item x="222"/>
        <item x="524"/>
        <item x="498"/>
        <item x="525"/>
        <item x="320"/>
        <item x="281"/>
        <item x="379"/>
        <item x="246"/>
        <item x="454"/>
        <item x="378"/>
        <item x="158"/>
        <item x="6"/>
        <item x="90"/>
        <item x="453"/>
        <item x="305"/>
        <item x="137"/>
        <item x="349"/>
        <item x="375"/>
        <item x="389"/>
        <item x="283"/>
        <item x="280"/>
        <item x="196"/>
        <item x="32"/>
        <item x="168"/>
        <item x="303"/>
        <item x="97"/>
        <item x="185"/>
        <item x="34"/>
        <item x="33"/>
        <item x="217"/>
        <item x="468"/>
        <item x="284"/>
        <item x="111"/>
        <item x="30"/>
        <item x="432"/>
        <item x="487"/>
        <item x="421"/>
        <item x="493"/>
        <item x="176"/>
        <item x="96"/>
        <item x="177"/>
        <item x="175"/>
        <item x="0"/>
        <item t="default"/>
      </items>
    </pivotField>
    <pivotField showAll="0">
      <items count="42">
        <item x="24"/>
        <item x="34"/>
        <item x="22"/>
        <item x="26"/>
        <item x="38"/>
        <item x="3"/>
        <item x="1"/>
        <item x="13"/>
        <item x="15"/>
        <item x="21"/>
        <item x="8"/>
        <item x="27"/>
        <item x="37"/>
        <item x="17"/>
        <item x="30"/>
        <item x="9"/>
        <item x="6"/>
        <item x="12"/>
        <item x="31"/>
        <item x="14"/>
        <item x="10"/>
        <item x="29"/>
        <item x="7"/>
        <item x="25"/>
        <item x="4"/>
        <item x="19"/>
        <item x="11"/>
        <item x="5"/>
        <item x="36"/>
        <item x="16"/>
        <item x="18"/>
        <item x="28"/>
        <item x="39"/>
        <item x="20"/>
        <item x="23"/>
        <item x="40"/>
        <item x="35"/>
        <item x="33"/>
        <item x="2"/>
        <item x="32"/>
        <item x="0"/>
        <item t="default"/>
      </items>
    </pivotField>
    <pivotField showAll="0">
      <items count="3">
        <item x="1"/>
        <item x="0"/>
        <item t="default"/>
      </items>
    </pivotField>
    <pivotField showAll="0">
      <items count="5">
        <item x="1"/>
        <item x="3"/>
        <item x="2"/>
        <item x="0"/>
        <item t="default"/>
      </items>
    </pivotField>
    <pivotField showAll="0">
      <items count="3">
        <item x="1"/>
        <item x="0"/>
        <item t="default"/>
      </items>
    </pivotField>
    <pivotField showAll="0">
      <items count="19">
        <item x="9"/>
        <item x="10"/>
        <item x="1"/>
        <item x="11"/>
        <item x="6"/>
        <item x="4"/>
        <item x="2"/>
        <item x="15"/>
        <item x="17"/>
        <item x="13"/>
        <item x="7"/>
        <item x="12"/>
        <item x="14"/>
        <item x="16"/>
        <item x="8"/>
        <item x="5"/>
        <item x="3"/>
        <item x="0"/>
        <item t="default"/>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0"/>
  </rowFields>
  <rowItems count="13">
    <i>
      <x v="1"/>
    </i>
    <i>
      <x v="2"/>
    </i>
    <i>
      <x v="3"/>
    </i>
    <i>
      <x v="4"/>
    </i>
    <i>
      <x v="5"/>
    </i>
    <i>
      <x v="6"/>
    </i>
    <i>
      <x v="7"/>
    </i>
    <i>
      <x v="8"/>
    </i>
    <i>
      <x v="9"/>
    </i>
    <i>
      <x v="10"/>
    </i>
    <i>
      <x v="11"/>
    </i>
    <i>
      <x v="12"/>
    </i>
    <i t="grand">
      <x/>
    </i>
  </rowItems>
  <colFields count="1">
    <field x="-2"/>
  </colFields>
  <colItems count="2">
    <i>
      <x/>
    </i>
    <i i="1">
      <x v="1"/>
    </i>
  </colItems>
  <dataFields count="2">
    <dataField name="Average of Cycling duration (ms)" fld="17" subtotal="average" baseField="0" baseItem="1"/>
    <dataField name="Average of Walking duration (ms)" fld="19"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6" firstHeaderRow="1" firstDataRow="1" firstDataCol="1"/>
  <pivotFields count="27">
    <pivotField axis="axisRow" numFmtId="14" showAll="0">
      <items count="15">
        <item x="0"/>
        <item x="1"/>
        <item x="2"/>
        <item x="3"/>
        <item x="4"/>
        <item x="5"/>
        <item x="6"/>
        <item x="7"/>
        <item x="8"/>
        <item x="9"/>
        <item x="10"/>
        <item x="11"/>
        <item x="12"/>
        <item x="1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0"/>
  </rowFields>
  <rowItems count="13">
    <i>
      <x v="1"/>
    </i>
    <i>
      <x v="2"/>
    </i>
    <i>
      <x v="3"/>
    </i>
    <i>
      <x v="4"/>
    </i>
    <i>
      <x v="5"/>
    </i>
    <i>
      <x v="6"/>
    </i>
    <i>
      <x v="7"/>
    </i>
    <i>
      <x v="8"/>
    </i>
    <i>
      <x v="9"/>
    </i>
    <i>
      <x v="10"/>
    </i>
    <i>
      <x v="11"/>
    </i>
    <i>
      <x v="12"/>
    </i>
    <i t="grand">
      <x/>
    </i>
  </rowItems>
  <colItems count="1">
    <i/>
  </colItems>
  <dataFields count="1">
    <dataField name="Count of Heart Points" fld="4" subtotal="count" baseField="0"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te" sourceName="Date">
  <pivotTables>
    <pivotTable tabId="5" name="PivotTable2"/>
    <pivotTable tabId="4" name="PivotTable1"/>
    <pivotTable tabId="11" name="PivotTable7"/>
    <pivotTable tabId="8" name="PivotTable6"/>
    <pivotTable tabId="7" name="PivotTable4"/>
  </pivotTables>
  <data>
    <tabular pivotCacheId="1">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te" cache="Slicer_Date" caption="Date" rowHeight="234950"/>
</slicers>
</file>

<file path=xl/tables/table1.xml><?xml version="1.0" encoding="utf-8"?>
<table xmlns="http://schemas.openxmlformats.org/spreadsheetml/2006/main" id="2" name="Table2" displayName="Table2" ref="A1:Y547" totalsRowShown="0">
  <autoFilter ref="A1:Y547"/>
  <tableColumns count="25">
    <tableColumn id="1" name="Date" dataDxfId="2"/>
    <tableColumn id="2" name="Move Minutes count"/>
    <tableColumn id="3" name="Calories (kcal)"/>
    <tableColumn id="4" name="Distance (m)"/>
    <tableColumn id="5" name="Heart Points"/>
    <tableColumn id="6" name="Heart Minutes"/>
    <tableColumn id="7" name="Low latitude (deg)"/>
    <tableColumn id="8" name="Low longitude (deg)"/>
    <tableColumn id="9" name="High latitude (deg)"/>
    <tableColumn id="10" name="High longitude (deg)"/>
    <tableColumn id="11" name="Average speed (m/s)"/>
    <tableColumn id="12" name="Max speed (m/s)"/>
    <tableColumn id="13" name="Min speed (m/s)"/>
    <tableColumn id="14" name="Step count"/>
    <tableColumn id="15" name="Average weight (kg)"/>
    <tableColumn id="16" name="Max weight (kg)"/>
    <tableColumn id="17" name="Min weight (kg)"/>
    <tableColumn id="18" name="Cycling duration (ms)"/>
    <tableColumn id="19" name="Inactive duration (ms)"/>
    <tableColumn id="20" name="Walking duration (ms)"/>
    <tableColumn id="21" name="Running duration (ms)"/>
    <tableColumn id="22" name="Dancing duration (ms)"/>
    <tableColumn id="23" name="P90x duration (ms)"/>
    <tableColumn id="24" name="Yoga duration (ms)"/>
    <tableColumn id="25" name="Other duration (ms)"/>
  </tableColumns>
  <tableStyleInfo name="TableStyleMedium2" showFirstColumn="0" showLastColumn="0" showRowStripes="1" showColumnStripes="0"/>
</table>
</file>

<file path=xl/tables/table2.xml><?xml version="1.0" encoding="utf-8"?>
<table xmlns="http://schemas.openxmlformats.org/spreadsheetml/2006/main" id="3" name="Table3" displayName="Table3" ref="A1:Y547" totalsRowShown="0">
  <autoFilter ref="A1:Y547"/>
  <tableColumns count="25">
    <tableColumn id="1" name="Date" dataDxfId="1"/>
    <tableColumn id="2" name="Move Minutes count"/>
    <tableColumn id="3" name="Calories (kcal)"/>
    <tableColumn id="4" name="Distance (m)"/>
    <tableColumn id="5" name="Heart Points"/>
    <tableColumn id="6" name="Heart Minutes"/>
    <tableColumn id="7" name="Low latitude (deg)"/>
    <tableColumn id="8" name="Low longitude (deg)"/>
    <tableColumn id="9" name="High latitude (deg)"/>
    <tableColumn id="10" name="High longitude (deg)"/>
    <tableColumn id="11" name="Average speed (m/s)"/>
    <tableColumn id="12" name="Max speed (m/s)"/>
    <tableColumn id="13" name="Min speed (m/s)"/>
    <tableColumn id="14" name="Step count"/>
    <tableColumn id="15" name="Average weight (kg)"/>
    <tableColumn id="16" name="Max weight (kg)"/>
    <tableColumn id="17" name="Min weight (kg)"/>
    <tableColumn id="18" name="Cycling duration (ms)"/>
    <tableColumn id="19" name="Inactive duration (ms)"/>
    <tableColumn id="20" name="Walking duration (ms)"/>
    <tableColumn id="21" name="Running duration (ms)"/>
    <tableColumn id="22" name="Dancing duration (ms)"/>
    <tableColumn id="23" name="P90x duration (ms)"/>
    <tableColumn id="24" name="Yoga duration (ms)"/>
    <tableColumn id="25" name="Other duration (ms)"/>
  </tableColumns>
  <tableStyleInfo name="TableStyleMedium2" showFirstColumn="0" showLastColumn="0" showRowStripes="1" showColumnStripes="0"/>
</table>
</file>

<file path=xl/tables/table3.xml><?xml version="1.0" encoding="utf-8"?>
<table xmlns="http://schemas.openxmlformats.org/spreadsheetml/2006/main" id="1" name="Table1" displayName="Table1" ref="A1:Y43" totalsRowShown="0">
  <autoFilter ref="A1:Y43"/>
  <tableColumns count="25">
    <tableColumn id="1" name="Date" dataDxfId="0"/>
    <tableColumn id="2" name="Move Minutes count"/>
    <tableColumn id="3" name="Calories (kcal)"/>
    <tableColumn id="4" name="Distance (m)"/>
    <tableColumn id="5" name="Heart Points"/>
    <tableColumn id="6" name="Heart Minutes"/>
    <tableColumn id="7" name="Low latitude (deg)"/>
    <tableColumn id="8" name="Low longitude (deg)"/>
    <tableColumn id="9" name="High latitude (deg)"/>
    <tableColumn id="10" name="High longitude (deg)"/>
    <tableColumn id="11" name="Average speed (m/s)"/>
    <tableColumn id="12" name="Max speed (m/s)"/>
    <tableColumn id="13" name="Min speed (m/s)"/>
    <tableColumn id="14" name="Step count"/>
    <tableColumn id="15" name="Average weight (kg)"/>
    <tableColumn id="16" name="Max weight (kg)"/>
    <tableColumn id="17" name="Min weight (kg)"/>
    <tableColumn id="18" name="Cycling duration (ms)"/>
    <tableColumn id="19" name="Inactive duration (ms)"/>
    <tableColumn id="20" name="Walking duration (ms)"/>
    <tableColumn id="21" name="Running duration (ms)"/>
    <tableColumn id="22" name="Dancing duration (ms)"/>
    <tableColumn id="23" name="P90x duration (ms)"/>
    <tableColumn id="24" name="Yoga duration (ms)"/>
    <tableColumn id="25" name="Other duration (m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47"/>
  <sheetViews>
    <sheetView workbookViewId="0">
      <selection sqref="A1:Y547"/>
    </sheetView>
  </sheetViews>
  <sheetFormatPr defaultRowHeight="14.4" x14ac:dyDescent="0.3"/>
  <cols>
    <col min="2" max="2" width="20.44140625" customWidth="1"/>
    <col min="3" max="3" width="14.5546875" customWidth="1"/>
    <col min="4" max="4" width="13.44140625" customWidth="1"/>
    <col min="5" max="5" width="13.109375" customWidth="1"/>
    <col min="6" max="6" width="14.77734375" customWidth="1"/>
    <col min="7" max="7" width="18.109375" customWidth="1"/>
    <col min="8" max="8" width="19.6640625" customWidth="1"/>
    <col min="9" max="9" width="18.44140625" customWidth="1"/>
    <col min="10" max="10" width="20" customWidth="1"/>
    <col min="11" max="11" width="20.33203125" customWidth="1"/>
    <col min="12" max="12" width="17.109375" customWidth="1"/>
    <col min="13" max="13" width="16.77734375" customWidth="1"/>
    <col min="14" max="14" width="12" customWidth="1"/>
    <col min="15" max="15" width="19.6640625" customWidth="1"/>
    <col min="16" max="16" width="16.44140625" customWidth="1"/>
    <col min="17" max="17" width="16.109375" customWidth="1"/>
    <col min="18" max="18" width="20.77734375" customWidth="1"/>
    <col min="19" max="19" width="21.44140625" customWidth="1"/>
    <col min="20" max="20" width="21.5546875" customWidth="1"/>
    <col min="21" max="21" width="21.77734375" customWidth="1"/>
    <col min="22" max="22" width="21.5546875" customWidth="1"/>
    <col min="23" max="23" width="18.77734375" customWidth="1"/>
    <col min="24" max="24" width="18.88671875" customWidth="1"/>
    <col min="25" max="25" width="19.5546875"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s="1">
        <v>45214</v>
      </c>
      <c r="B2">
        <v>2</v>
      </c>
      <c r="C2">
        <v>779.67898530092498</v>
      </c>
      <c r="D2">
        <v>115.48630474753701</v>
      </c>
      <c r="K2">
        <v>0.34060794417196999</v>
      </c>
      <c r="L2">
        <v>0.41731434680928797</v>
      </c>
      <c r="M2">
        <v>0.30448366600104099</v>
      </c>
      <c r="N2">
        <v>202</v>
      </c>
      <c r="O2">
        <v>70</v>
      </c>
      <c r="P2">
        <v>70</v>
      </c>
      <c r="Q2">
        <v>70</v>
      </c>
    </row>
    <row r="3" spans="1:25" x14ac:dyDescent="0.3">
      <c r="A3" s="1">
        <v>45215</v>
      </c>
      <c r="B3">
        <v>97</v>
      </c>
      <c r="C3">
        <v>1716.0952320573001</v>
      </c>
      <c r="D3">
        <v>3504.2230002340598</v>
      </c>
      <c r="E3">
        <v>5</v>
      </c>
      <c r="F3">
        <v>5</v>
      </c>
      <c r="K3">
        <v>0.47943025248960802</v>
      </c>
      <c r="L3">
        <v>1.5781752798133399</v>
      </c>
      <c r="M3">
        <v>0.26098599942946399</v>
      </c>
      <c r="N3">
        <v>5340</v>
      </c>
      <c r="T3">
        <v>2695964</v>
      </c>
    </row>
    <row r="4" spans="1:25" x14ac:dyDescent="0.3">
      <c r="A4" s="1">
        <v>45216</v>
      </c>
      <c r="B4">
        <v>4</v>
      </c>
      <c r="C4">
        <v>1608.67358088541</v>
      </c>
      <c r="D4">
        <v>237.497259480812</v>
      </c>
      <c r="K4">
        <v>0.39777815664402599</v>
      </c>
      <c r="L4">
        <v>0.778700154730946</v>
      </c>
      <c r="M4">
        <v>0.25011158278656997</v>
      </c>
      <c r="N4">
        <v>576</v>
      </c>
      <c r="T4">
        <v>769698</v>
      </c>
    </row>
    <row r="5" spans="1:25" x14ac:dyDescent="0.3">
      <c r="A5" s="1">
        <v>45217</v>
      </c>
      <c r="B5">
        <v>59</v>
      </c>
      <c r="C5">
        <v>1725.42075345586</v>
      </c>
      <c r="D5">
        <v>1268.6378379580101</v>
      </c>
      <c r="E5">
        <v>35</v>
      </c>
      <c r="F5">
        <v>35</v>
      </c>
      <c r="K5">
        <v>0.44042018415690598</v>
      </c>
      <c r="L5">
        <v>1.65241696966996</v>
      </c>
      <c r="M5">
        <v>0.26098599942946399</v>
      </c>
      <c r="N5">
        <v>1942</v>
      </c>
      <c r="R5">
        <v>1983437</v>
      </c>
      <c r="T5">
        <v>740402</v>
      </c>
    </row>
    <row r="6" spans="1:25" x14ac:dyDescent="0.3">
      <c r="A6" s="1">
        <v>45218</v>
      </c>
      <c r="B6">
        <v>62</v>
      </c>
      <c r="C6">
        <v>1758.0856077255501</v>
      </c>
      <c r="D6">
        <v>2352.4925720096198</v>
      </c>
      <c r="E6">
        <v>35</v>
      </c>
      <c r="F6">
        <v>35</v>
      </c>
      <c r="K6">
        <v>0.64927925597178204</v>
      </c>
      <c r="L6">
        <v>1.6019211449330399</v>
      </c>
      <c r="M6">
        <v>0.25011158278656997</v>
      </c>
      <c r="N6">
        <v>3492</v>
      </c>
      <c r="R6">
        <v>1515235</v>
      </c>
      <c r="T6">
        <v>1828029</v>
      </c>
    </row>
    <row r="7" spans="1:25" x14ac:dyDescent="0.3">
      <c r="A7" s="1">
        <v>45219</v>
      </c>
      <c r="B7">
        <v>100</v>
      </c>
      <c r="C7">
        <v>1915.75333120304</v>
      </c>
      <c r="D7">
        <v>3693.3073495551798</v>
      </c>
      <c r="E7">
        <v>45</v>
      </c>
      <c r="F7">
        <v>45</v>
      </c>
      <c r="K7">
        <v>0.50066672865528905</v>
      </c>
      <c r="L7">
        <v>1.5269035122946499</v>
      </c>
      <c r="M7">
        <v>0.25011158278656997</v>
      </c>
      <c r="N7">
        <v>5496</v>
      </c>
      <c r="R7">
        <v>1680300</v>
      </c>
      <c r="T7">
        <v>4287983</v>
      </c>
      <c r="U7">
        <v>83289</v>
      </c>
    </row>
    <row r="8" spans="1:25" x14ac:dyDescent="0.3">
      <c r="A8" s="1">
        <v>45220</v>
      </c>
      <c r="B8">
        <v>197</v>
      </c>
      <c r="C8">
        <v>2022.9197741021601</v>
      </c>
      <c r="D8">
        <v>11189.0498986775</v>
      </c>
      <c r="E8">
        <v>71</v>
      </c>
      <c r="F8">
        <v>71</v>
      </c>
      <c r="K8">
        <v>0.59175482134530399</v>
      </c>
      <c r="L8">
        <v>1.76063375530189</v>
      </c>
      <c r="M8">
        <v>0.25895970407070101</v>
      </c>
      <c r="N8">
        <v>16358</v>
      </c>
      <c r="T8">
        <v>8197883</v>
      </c>
    </row>
    <row r="9" spans="1:25" x14ac:dyDescent="0.3">
      <c r="A9" s="1">
        <v>45221</v>
      </c>
      <c r="B9">
        <v>8</v>
      </c>
      <c r="C9">
        <v>1591.52283721716</v>
      </c>
      <c r="D9">
        <v>351.09476701235099</v>
      </c>
      <c r="E9">
        <v>1</v>
      </c>
      <c r="F9">
        <v>1</v>
      </c>
      <c r="K9">
        <v>0.57633976435979695</v>
      </c>
      <c r="L9">
        <v>1.44714275681882</v>
      </c>
      <c r="M9">
        <v>0.28611926791123099</v>
      </c>
      <c r="N9">
        <v>645</v>
      </c>
      <c r="T9">
        <v>462154</v>
      </c>
    </row>
    <row r="10" spans="1:25" x14ac:dyDescent="0.3">
      <c r="A10" s="1">
        <v>45222</v>
      </c>
      <c r="B10">
        <v>177</v>
      </c>
      <c r="C10">
        <v>1991.2091660400899</v>
      </c>
      <c r="D10">
        <v>6887.6940270197101</v>
      </c>
      <c r="E10">
        <v>69</v>
      </c>
      <c r="F10">
        <v>66</v>
      </c>
      <c r="K10">
        <v>0.62152762349573798</v>
      </c>
      <c r="L10">
        <v>2.8013492727637899</v>
      </c>
      <c r="M10">
        <v>0.253046898822408</v>
      </c>
      <c r="N10">
        <v>10044</v>
      </c>
      <c r="R10">
        <v>2345058</v>
      </c>
      <c r="T10">
        <v>3947019</v>
      </c>
      <c r="U10">
        <v>472740</v>
      </c>
    </row>
    <row r="11" spans="1:25" x14ac:dyDescent="0.3">
      <c r="A11" s="1">
        <v>45223</v>
      </c>
      <c r="B11">
        <v>1</v>
      </c>
      <c r="C11">
        <v>1570.4646910850599</v>
      </c>
      <c r="D11">
        <v>91.345099800312497</v>
      </c>
      <c r="K11">
        <v>0.32825963369172001</v>
      </c>
      <c r="L11">
        <v>0.48686669898336399</v>
      </c>
      <c r="M11">
        <v>0.24026656957307699</v>
      </c>
      <c r="N11">
        <v>323</v>
      </c>
      <c r="T11">
        <v>84543</v>
      </c>
    </row>
    <row r="12" spans="1:25" x14ac:dyDescent="0.3">
      <c r="A12" s="1">
        <v>45224</v>
      </c>
      <c r="B12">
        <v>84</v>
      </c>
      <c r="C12">
        <v>1815.9531662152699</v>
      </c>
      <c r="D12">
        <v>2450.4351751476702</v>
      </c>
      <c r="E12">
        <v>53</v>
      </c>
      <c r="F12">
        <v>52</v>
      </c>
      <c r="K12">
        <v>0.57753777263822004</v>
      </c>
      <c r="L12">
        <v>1.8837093052803799</v>
      </c>
      <c r="M12">
        <v>0.28273483271525301</v>
      </c>
      <c r="N12">
        <v>3635</v>
      </c>
      <c r="R12">
        <v>2555086</v>
      </c>
      <c r="T12">
        <v>1753334</v>
      </c>
    </row>
    <row r="13" spans="1:25" x14ac:dyDescent="0.3">
      <c r="A13" s="1">
        <v>45225</v>
      </c>
      <c r="B13">
        <v>80</v>
      </c>
      <c r="C13">
        <v>1818.1564541960799</v>
      </c>
      <c r="D13">
        <v>2768.8933442943498</v>
      </c>
      <c r="E13">
        <v>45</v>
      </c>
      <c r="F13">
        <v>45</v>
      </c>
      <c r="K13">
        <v>0.71713753660490698</v>
      </c>
      <c r="L13">
        <v>1.69639604342613</v>
      </c>
      <c r="M13">
        <v>0.25347668386434002</v>
      </c>
      <c r="N13">
        <v>4118</v>
      </c>
      <c r="R13">
        <v>1780213</v>
      </c>
      <c r="T13">
        <v>2621751</v>
      </c>
    </row>
    <row r="14" spans="1:25" x14ac:dyDescent="0.3">
      <c r="A14" s="1">
        <v>45226</v>
      </c>
      <c r="B14">
        <v>105</v>
      </c>
      <c r="C14">
        <v>1892.2129275355401</v>
      </c>
      <c r="D14">
        <v>5391.5164796999197</v>
      </c>
      <c r="E14">
        <v>56</v>
      </c>
      <c r="F14">
        <v>56</v>
      </c>
      <c r="K14">
        <v>0.70573192879159397</v>
      </c>
      <c r="L14">
        <v>1.5837928038017</v>
      </c>
      <c r="M14">
        <v>0.25430795372945503</v>
      </c>
      <c r="N14">
        <v>7753</v>
      </c>
      <c r="R14">
        <v>1025848</v>
      </c>
      <c r="T14">
        <v>4756689</v>
      </c>
    </row>
    <row r="15" spans="1:25" x14ac:dyDescent="0.3">
      <c r="A15" s="1">
        <v>45227</v>
      </c>
      <c r="B15">
        <v>10</v>
      </c>
      <c r="C15">
        <v>1648.34400651909</v>
      </c>
      <c r="D15">
        <v>459.87033564486097</v>
      </c>
      <c r="K15">
        <v>0.42619135065909403</v>
      </c>
      <c r="L15">
        <v>1.5212111144042699</v>
      </c>
      <c r="M15">
        <v>0.25011158278656997</v>
      </c>
      <c r="N15">
        <v>827</v>
      </c>
      <c r="T15">
        <v>1481061</v>
      </c>
    </row>
    <row r="16" spans="1:25" x14ac:dyDescent="0.3">
      <c r="A16" s="1">
        <v>45228</v>
      </c>
      <c r="B16">
        <v>27</v>
      </c>
      <c r="C16">
        <v>1664.29948814201</v>
      </c>
      <c r="D16">
        <v>1511.5396276010699</v>
      </c>
      <c r="E16">
        <v>9</v>
      </c>
      <c r="F16">
        <v>9</v>
      </c>
      <c r="K16">
        <v>0.45812378864959902</v>
      </c>
      <c r="L16">
        <v>1.52866271254762</v>
      </c>
      <c r="M16">
        <v>0.28273483271525301</v>
      </c>
      <c r="N16">
        <v>2289</v>
      </c>
      <c r="T16">
        <v>1767175</v>
      </c>
    </row>
    <row r="17" spans="1:21" x14ac:dyDescent="0.3">
      <c r="A17" s="1">
        <v>45229</v>
      </c>
      <c r="B17">
        <v>183</v>
      </c>
      <c r="C17">
        <v>2124.7890104882699</v>
      </c>
      <c r="D17">
        <v>6620.4374188311403</v>
      </c>
      <c r="E17">
        <v>80</v>
      </c>
      <c r="F17">
        <v>77</v>
      </c>
      <c r="K17">
        <v>0.68630530272109502</v>
      </c>
      <c r="L17">
        <v>1.9408612911907199</v>
      </c>
      <c r="M17">
        <v>0.25011158278656997</v>
      </c>
      <c r="N17">
        <v>9891</v>
      </c>
      <c r="R17">
        <v>3105073</v>
      </c>
      <c r="T17">
        <v>6683613</v>
      </c>
    </row>
    <row r="18" spans="1:21" x14ac:dyDescent="0.3">
      <c r="A18" s="1">
        <v>45230</v>
      </c>
      <c r="B18">
        <v>65</v>
      </c>
      <c r="C18">
        <v>1756.5373321330301</v>
      </c>
      <c r="D18">
        <v>1355.5711018105001</v>
      </c>
      <c r="E18">
        <v>41</v>
      </c>
      <c r="F18">
        <v>41</v>
      </c>
      <c r="K18">
        <v>0.42355706421998801</v>
      </c>
      <c r="L18">
        <v>1.45220596177395</v>
      </c>
      <c r="M18">
        <v>0.25011158278656997</v>
      </c>
      <c r="N18">
        <v>2253</v>
      </c>
      <c r="R18">
        <v>2416413</v>
      </c>
      <c r="T18">
        <v>681376</v>
      </c>
      <c r="U18">
        <v>67625</v>
      </c>
    </row>
    <row r="19" spans="1:21" x14ac:dyDescent="0.3">
      <c r="A19" s="1">
        <v>45231</v>
      </c>
      <c r="B19">
        <v>57</v>
      </c>
      <c r="C19">
        <v>1788.0297465407</v>
      </c>
      <c r="D19">
        <v>1620.74845765839</v>
      </c>
      <c r="E19">
        <v>36</v>
      </c>
      <c r="F19">
        <v>36</v>
      </c>
      <c r="K19">
        <v>0.42707784082378097</v>
      </c>
      <c r="L19">
        <v>1.58561213935221</v>
      </c>
      <c r="M19">
        <v>0.25011158278656997</v>
      </c>
      <c r="N19">
        <v>2514</v>
      </c>
      <c r="R19">
        <v>1880490</v>
      </c>
      <c r="T19">
        <v>1974256</v>
      </c>
    </row>
    <row r="20" spans="1:21" x14ac:dyDescent="0.3">
      <c r="A20" s="1">
        <v>45232</v>
      </c>
      <c r="B20">
        <v>79</v>
      </c>
      <c r="C20">
        <v>1805.00692789801</v>
      </c>
      <c r="D20">
        <v>2851.25809973471</v>
      </c>
      <c r="E20">
        <v>36</v>
      </c>
      <c r="F20">
        <v>36</v>
      </c>
      <c r="K20">
        <v>0.88892355186079197</v>
      </c>
      <c r="L20">
        <v>1.6418111283607899</v>
      </c>
      <c r="M20">
        <v>0.26098599942946399</v>
      </c>
      <c r="N20">
        <v>4327</v>
      </c>
      <c r="R20">
        <v>1548392</v>
      </c>
      <c r="T20">
        <v>2633945</v>
      </c>
    </row>
    <row r="21" spans="1:21" x14ac:dyDescent="0.3">
      <c r="A21" s="1">
        <v>45233</v>
      </c>
      <c r="B21">
        <v>113</v>
      </c>
      <c r="C21">
        <v>1919.3680519739601</v>
      </c>
      <c r="D21">
        <v>3605.72294325536</v>
      </c>
      <c r="E21">
        <v>58</v>
      </c>
      <c r="F21">
        <v>58</v>
      </c>
      <c r="K21">
        <v>0.73529538816463802</v>
      </c>
      <c r="L21">
        <v>1.64032342731036</v>
      </c>
      <c r="M21">
        <v>0.25011158278656997</v>
      </c>
      <c r="N21">
        <v>5344</v>
      </c>
      <c r="R21">
        <v>2813230</v>
      </c>
      <c r="T21">
        <v>3331607</v>
      </c>
    </row>
    <row r="22" spans="1:21" x14ac:dyDescent="0.3">
      <c r="A22" s="1">
        <v>45234</v>
      </c>
      <c r="B22">
        <v>89</v>
      </c>
      <c r="C22">
        <v>1838.5181288112699</v>
      </c>
      <c r="D22">
        <v>2819.3206627599502</v>
      </c>
      <c r="E22">
        <v>50</v>
      </c>
      <c r="F22">
        <v>50</v>
      </c>
      <c r="K22">
        <v>0.51199077921239999</v>
      </c>
      <c r="L22">
        <v>1.7921135361395699</v>
      </c>
      <c r="M22">
        <v>0.25011158278656997</v>
      </c>
      <c r="N22">
        <v>4307</v>
      </c>
      <c r="R22">
        <v>2419843</v>
      </c>
      <c r="T22">
        <v>2302641</v>
      </c>
    </row>
    <row r="23" spans="1:21" x14ac:dyDescent="0.3">
      <c r="A23" s="1">
        <v>45235</v>
      </c>
      <c r="B23">
        <v>4</v>
      </c>
      <c r="C23">
        <v>1636.95213550925</v>
      </c>
      <c r="D23">
        <v>302.10189430603998</v>
      </c>
      <c r="K23">
        <v>0.36259086568085003</v>
      </c>
      <c r="L23">
        <v>0.78269557830644598</v>
      </c>
      <c r="M23">
        <v>0.24803770009784501</v>
      </c>
      <c r="N23">
        <v>727</v>
      </c>
      <c r="T23">
        <v>1276784</v>
      </c>
    </row>
    <row r="24" spans="1:21" x14ac:dyDescent="0.3">
      <c r="A24" s="1">
        <v>45236</v>
      </c>
      <c r="B24">
        <v>67</v>
      </c>
      <c r="C24">
        <v>1775.1477664384799</v>
      </c>
      <c r="D24">
        <v>2287.4182912440401</v>
      </c>
      <c r="E24">
        <v>34</v>
      </c>
      <c r="F24">
        <v>34</v>
      </c>
      <c r="K24">
        <v>0.73412834468335597</v>
      </c>
      <c r="L24">
        <v>1.45243339024545</v>
      </c>
      <c r="M24">
        <v>0.25011158278656997</v>
      </c>
      <c r="N24">
        <v>3507</v>
      </c>
      <c r="R24">
        <v>1659313</v>
      </c>
      <c r="T24">
        <v>1979858</v>
      </c>
    </row>
    <row r="25" spans="1:21" x14ac:dyDescent="0.3">
      <c r="A25" s="1">
        <v>45237</v>
      </c>
      <c r="B25">
        <v>78</v>
      </c>
      <c r="C25">
        <v>1863.06453281535</v>
      </c>
      <c r="D25">
        <v>3682.83151960131</v>
      </c>
      <c r="E25">
        <v>20</v>
      </c>
      <c r="F25">
        <v>20</v>
      </c>
      <c r="K25">
        <v>0.639209376524141</v>
      </c>
      <c r="L25">
        <v>1.5445505466663201</v>
      </c>
      <c r="M25">
        <v>0.25443038041266303</v>
      </c>
      <c r="N25">
        <v>5620</v>
      </c>
      <c r="R25">
        <v>633370</v>
      </c>
      <c r="T25">
        <v>4653854</v>
      </c>
    </row>
    <row r="26" spans="1:21" x14ac:dyDescent="0.3">
      <c r="A26" s="1">
        <v>45238</v>
      </c>
      <c r="B26">
        <v>51</v>
      </c>
      <c r="C26">
        <v>1749.9176114033501</v>
      </c>
      <c r="D26">
        <v>663.90667360254997</v>
      </c>
      <c r="E26">
        <v>37</v>
      </c>
      <c r="F26">
        <v>37</v>
      </c>
      <c r="K26">
        <v>0.47327047255457799</v>
      </c>
      <c r="L26">
        <v>1.22502307511441</v>
      </c>
      <c r="M26">
        <v>0.28273483271525301</v>
      </c>
      <c r="N26">
        <v>1193</v>
      </c>
      <c r="R26">
        <v>2369658</v>
      </c>
      <c r="T26">
        <v>767555</v>
      </c>
    </row>
    <row r="27" spans="1:21" x14ac:dyDescent="0.3">
      <c r="A27" s="1">
        <v>45239</v>
      </c>
      <c r="B27">
        <v>72</v>
      </c>
      <c r="C27">
        <v>1771.4330464438799</v>
      </c>
      <c r="D27">
        <v>2333.7470924742602</v>
      </c>
      <c r="E27">
        <v>42</v>
      </c>
      <c r="F27">
        <v>42</v>
      </c>
      <c r="K27">
        <v>0.51410757926010897</v>
      </c>
      <c r="L27">
        <v>1.64214129725147</v>
      </c>
      <c r="M27">
        <v>0.25011158278656997</v>
      </c>
      <c r="N27">
        <v>3534</v>
      </c>
      <c r="R27">
        <v>1927604</v>
      </c>
      <c r="T27">
        <v>1626246</v>
      </c>
    </row>
    <row r="28" spans="1:21" x14ac:dyDescent="0.3">
      <c r="A28" s="1">
        <v>45240</v>
      </c>
      <c r="B28">
        <v>79</v>
      </c>
      <c r="C28">
        <v>1795.1854466761299</v>
      </c>
      <c r="D28">
        <v>3167.3007635244498</v>
      </c>
      <c r="E28">
        <v>39</v>
      </c>
      <c r="F28">
        <v>38</v>
      </c>
      <c r="K28">
        <v>0.69341707213234305</v>
      </c>
      <c r="L28">
        <v>2.3604281827650802</v>
      </c>
      <c r="M28">
        <v>0.25016263208102302</v>
      </c>
      <c r="N28">
        <v>4474</v>
      </c>
      <c r="R28">
        <v>1405918</v>
      </c>
      <c r="T28">
        <v>2610237</v>
      </c>
    </row>
    <row r="29" spans="1:21" x14ac:dyDescent="0.3">
      <c r="A29" s="1">
        <v>45241</v>
      </c>
      <c r="B29">
        <v>68</v>
      </c>
      <c r="C29">
        <v>1766.38928136251</v>
      </c>
      <c r="D29">
        <v>3725.1171196693599</v>
      </c>
      <c r="E29">
        <v>20</v>
      </c>
      <c r="F29">
        <v>19</v>
      </c>
      <c r="K29">
        <v>0.43056333276500802</v>
      </c>
      <c r="L29">
        <v>1.93699548365429</v>
      </c>
      <c r="M29">
        <v>0.25011158278656997</v>
      </c>
      <c r="N29">
        <v>5533</v>
      </c>
      <c r="T29">
        <v>3597828</v>
      </c>
    </row>
    <row r="30" spans="1:21" x14ac:dyDescent="0.3">
      <c r="A30" s="1">
        <v>45242</v>
      </c>
      <c r="B30">
        <v>115</v>
      </c>
      <c r="C30">
        <v>1820.2447103351001</v>
      </c>
      <c r="D30">
        <v>5682.2523844955103</v>
      </c>
      <c r="E30">
        <v>33</v>
      </c>
      <c r="F30">
        <v>33</v>
      </c>
      <c r="K30">
        <v>0.42630059777742801</v>
      </c>
      <c r="L30">
        <v>1.49815256914996</v>
      </c>
      <c r="M30">
        <v>0.25011158278656997</v>
      </c>
      <c r="N30">
        <v>8579</v>
      </c>
      <c r="T30">
        <v>4232925</v>
      </c>
      <c r="U30">
        <v>144374</v>
      </c>
    </row>
    <row r="31" spans="1:21" x14ac:dyDescent="0.3">
      <c r="A31" s="1">
        <v>45243</v>
      </c>
      <c r="B31">
        <v>79</v>
      </c>
      <c r="C31">
        <v>1753.58350459025</v>
      </c>
      <c r="D31">
        <v>3440.5237698937599</v>
      </c>
      <c r="E31">
        <v>4</v>
      </c>
      <c r="F31">
        <v>4</v>
      </c>
      <c r="K31">
        <v>0.52234304270389398</v>
      </c>
      <c r="L31">
        <v>1.7579831250989999</v>
      </c>
      <c r="M31">
        <v>0.25011158278656997</v>
      </c>
      <c r="N31">
        <v>5596</v>
      </c>
      <c r="T31">
        <v>3368197</v>
      </c>
    </row>
    <row r="32" spans="1:21" x14ac:dyDescent="0.3">
      <c r="A32" s="1">
        <v>45244</v>
      </c>
      <c r="B32">
        <v>294</v>
      </c>
      <c r="C32">
        <v>2178.6660208445001</v>
      </c>
      <c r="D32">
        <v>13754.6933463765</v>
      </c>
      <c r="E32">
        <v>52</v>
      </c>
      <c r="F32">
        <v>49</v>
      </c>
      <c r="K32">
        <v>0.61220857785369798</v>
      </c>
      <c r="L32">
        <v>2.1736314389131102</v>
      </c>
      <c r="M32">
        <v>0.248601872291149</v>
      </c>
      <c r="N32">
        <v>20385</v>
      </c>
      <c r="T32">
        <v>10559792</v>
      </c>
      <c r="U32">
        <v>170044</v>
      </c>
    </row>
    <row r="33" spans="1:21" x14ac:dyDescent="0.3">
      <c r="A33" s="1">
        <v>45245</v>
      </c>
      <c r="B33">
        <v>161</v>
      </c>
      <c r="C33">
        <v>1802.1271918836201</v>
      </c>
      <c r="D33">
        <v>7008.21791803</v>
      </c>
      <c r="E33">
        <v>18</v>
      </c>
      <c r="F33">
        <v>18</v>
      </c>
      <c r="K33">
        <v>0.48715704549835898</v>
      </c>
      <c r="L33">
        <v>1.64207020065626</v>
      </c>
      <c r="M33">
        <v>0.25011158278656997</v>
      </c>
      <c r="N33">
        <v>10620</v>
      </c>
      <c r="T33">
        <v>4238390</v>
      </c>
    </row>
    <row r="34" spans="1:21" x14ac:dyDescent="0.3">
      <c r="A34" s="1">
        <v>45246</v>
      </c>
      <c r="B34">
        <v>292</v>
      </c>
      <c r="C34">
        <v>2082.5005150781699</v>
      </c>
      <c r="D34">
        <v>12014.483801607201</v>
      </c>
      <c r="E34">
        <v>25</v>
      </c>
      <c r="F34">
        <v>25</v>
      </c>
      <c r="K34">
        <v>0.60119540329805798</v>
      </c>
      <c r="L34">
        <v>1.72208075847942</v>
      </c>
      <c r="M34">
        <v>0.25011158278656997</v>
      </c>
      <c r="N34">
        <v>18524</v>
      </c>
      <c r="T34">
        <v>9036325</v>
      </c>
      <c r="U34">
        <v>100403</v>
      </c>
    </row>
    <row r="35" spans="1:21" x14ac:dyDescent="0.3">
      <c r="A35" s="1">
        <v>45247</v>
      </c>
      <c r="B35">
        <v>333</v>
      </c>
      <c r="C35">
        <v>2110.6426897695901</v>
      </c>
      <c r="D35">
        <v>13825.195740752801</v>
      </c>
      <c r="E35">
        <v>33</v>
      </c>
      <c r="F35">
        <v>33</v>
      </c>
      <c r="K35">
        <v>0.55708397716979496</v>
      </c>
      <c r="L35">
        <v>1.8458457255338201</v>
      </c>
      <c r="M35">
        <v>0.25011158278656997</v>
      </c>
      <c r="N35">
        <v>21001</v>
      </c>
      <c r="T35">
        <v>9770852</v>
      </c>
    </row>
    <row r="36" spans="1:21" x14ac:dyDescent="0.3">
      <c r="A36" s="1">
        <v>45248</v>
      </c>
      <c r="B36">
        <v>266</v>
      </c>
      <c r="C36">
        <v>2324.7142734959398</v>
      </c>
      <c r="D36">
        <v>9899.4741312037095</v>
      </c>
      <c r="E36">
        <v>95</v>
      </c>
      <c r="F36">
        <v>94</v>
      </c>
      <c r="K36">
        <v>0.59668049081165997</v>
      </c>
      <c r="L36">
        <v>1.96598213361036</v>
      </c>
      <c r="M36">
        <v>0.25462862994890001</v>
      </c>
      <c r="N36">
        <v>14913</v>
      </c>
      <c r="R36">
        <v>3517427</v>
      </c>
      <c r="T36">
        <v>9577928</v>
      </c>
      <c r="U36">
        <v>116853</v>
      </c>
    </row>
    <row r="37" spans="1:21" x14ac:dyDescent="0.3">
      <c r="A37" s="1">
        <v>45249</v>
      </c>
      <c r="B37">
        <v>71</v>
      </c>
      <c r="C37">
        <v>1819.5288426811201</v>
      </c>
      <c r="D37">
        <v>4295.0647502731099</v>
      </c>
      <c r="E37">
        <v>25</v>
      </c>
      <c r="F37">
        <v>25</v>
      </c>
      <c r="K37">
        <v>0.52854175344216703</v>
      </c>
      <c r="L37">
        <v>2.2741225477861899</v>
      </c>
      <c r="M37">
        <v>0.271860416072358</v>
      </c>
      <c r="N37">
        <v>6312</v>
      </c>
      <c r="T37">
        <v>4550718</v>
      </c>
    </row>
    <row r="38" spans="1:21" x14ac:dyDescent="0.3">
      <c r="A38" s="1">
        <v>45250</v>
      </c>
      <c r="B38">
        <v>73</v>
      </c>
      <c r="C38">
        <v>1838.2518493740899</v>
      </c>
      <c r="D38">
        <v>2774.4249048757501</v>
      </c>
      <c r="E38">
        <v>38</v>
      </c>
      <c r="F38">
        <v>38</v>
      </c>
      <c r="K38">
        <v>0.70195723767148699</v>
      </c>
      <c r="L38">
        <v>1.5352751682783199</v>
      </c>
      <c r="M38">
        <v>0.31606259455104302</v>
      </c>
      <c r="N38">
        <v>4031</v>
      </c>
      <c r="R38">
        <v>1560283</v>
      </c>
      <c r="T38">
        <v>3217365</v>
      </c>
    </row>
    <row r="39" spans="1:21" x14ac:dyDescent="0.3">
      <c r="A39" s="1">
        <v>45251</v>
      </c>
      <c r="B39">
        <v>93</v>
      </c>
      <c r="C39">
        <v>1855.56715304112</v>
      </c>
      <c r="D39">
        <v>3595.1591003378498</v>
      </c>
      <c r="E39">
        <v>47</v>
      </c>
      <c r="F39">
        <v>47</v>
      </c>
      <c r="K39">
        <v>0.84839345149065104</v>
      </c>
      <c r="L39">
        <v>1.4997017992817401</v>
      </c>
      <c r="M39">
        <v>0.25011158278656997</v>
      </c>
      <c r="N39">
        <v>5333</v>
      </c>
      <c r="R39">
        <v>1700788</v>
      </c>
      <c r="T39">
        <v>3377557</v>
      </c>
    </row>
    <row r="40" spans="1:21" x14ac:dyDescent="0.3">
      <c r="A40" s="1">
        <v>45252</v>
      </c>
      <c r="B40">
        <v>168</v>
      </c>
      <c r="C40">
        <v>1921.42458896734</v>
      </c>
      <c r="D40">
        <v>5120.33484819977</v>
      </c>
      <c r="E40">
        <v>74</v>
      </c>
      <c r="F40">
        <v>74</v>
      </c>
      <c r="K40">
        <v>0.45579734775337799</v>
      </c>
      <c r="L40">
        <v>1.97958299143705</v>
      </c>
      <c r="M40">
        <v>0.27382008800005803</v>
      </c>
      <c r="N40">
        <v>7647</v>
      </c>
      <c r="R40">
        <v>3575274</v>
      </c>
      <c r="T40">
        <v>2553299</v>
      </c>
    </row>
    <row r="41" spans="1:21" x14ac:dyDescent="0.3">
      <c r="A41" s="1">
        <v>45253</v>
      </c>
      <c r="B41">
        <v>76</v>
      </c>
      <c r="C41">
        <v>1787.5341649460399</v>
      </c>
      <c r="D41">
        <v>3272.3381547168201</v>
      </c>
      <c r="E41">
        <v>33</v>
      </c>
      <c r="F41">
        <v>33</v>
      </c>
      <c r="K41">
        <v>0.52206467724710703</v>
      </c>
      <c r="L41">
        <v>2.0137315198183199</v>
      </c>
      <c r="M41">
        <v>0.24476135482438299</v>
      </c>
      <c r="N41">
        <v>4764</v>
      </c>
      <c r="R41">
        <v>1211879</v>
      </c>
      <c r="T41">
        <v>2680604</v>
      </c>
    </row>
    <row r="42" spans="1:21" x14ac:dyDescent="0.3">
      <c r="A42" s="1">
        <v>45254</v>
      </c>
      <c r="B42">
        <v>63</v>
      </c>
      <c r="C42">
        <v>1783.5811329989499</v>
      </c>
      <c r="D42">
        <v>2676.5152983061998</v>
      </c>
      <c r="E42">
        <v>17</v>
      </c>
      <c r="F42">
        <v>17</v>
      </c>
      <c r="K42">
        <v>0.56807681952800104</v>
      </c>
      <c r="L42">
        <v>1.4391928640415099</v>
      </c>
      <c r="M42">
        <v>0.24254688348422501</v>
      </c>
      <c r="N42">
        <v>4143</v>
      </c>
      <c r="R42">
        <v>706598</v>
      </c>
      <c r="T42">
        <v>3150237</v>
      </c>
    </row>
    <row r="43" spans="1:21" x14ac:dyDescent="0.3">
      <c r="A43" s="1">
        <v>45255</v>
      </c>
      <c r="B43">
        <v>33</v>
      </c>
      <c r="C43">
        <v>1679.35999559984</v>
      </c>
      <c r="D43">
        <v>1696.2003520153801</v>
      </c>
      <c r="E43">
        <v>6</v>
      </c>
      <c r="F43">
        <v>6</v>
      </c>
      <c r="K43">
        <v>0.448077510528267</v>
      </c>
      <c r="L43">
        <v>1.8416957777362499</v>
      </c>
      <c r="M43">
        <v>0.25011158278656997</v>
      </c>
      <c r="N43">
        <v>2866</v>
      </c>
      <c r="T43">
        <v>2037235</v>
      </c>
    </row>
    <row r="44" spans="1:21" x14ac:dyDescent="0.3">
      <c r="A44" s="1">
        <v>45256</v>
      </c>
      <c r="B44">
        <v>15</v>
      </c>
      <c r="C44">
        <v>1605.42287745311</v>
      </c>
      <c r="D44">
        <v>740.38747443406805</v>
      </c>
      <c r="E44">
        <v>2</v>
      </c>
      <c r="F44">
        <v>1</v>
      </c>
      <c r="K44">
        <v>0.44977150385675702</v>
      </c>
      <c r="L44">
        <v>2.0416113550533099</v>
      </c>
      <c r="M44">
        <v>0.26098599942946399</v>
      </c>
      <c r="N44">
        <v>1239</v>
      </c>
      <c r="T44">
        <v>711406</v>
      </c>
    </row>
    <row r="45" spans="1:21" x14ac:dyDescent="0.3">
      <c r="A45" s="1">
        <v>45257</v>
      </c>
      <c r="B45">
        <v>8</v>
      </c>
      <c r="C45">
        <v>1580.35448129618</v>
      </c>
      <c r="D45">
        <v>488.19693008367801</v>
      </c>
      <c r="E45">
        <v>1</v>
      </c>
      <c r="F45">
        <v>1</v>
      </c>
      <c r="K45">
        <v>0.33791060523709698</v>
      </c>
      <c r="L45">
        <v>1.8401579543041799</v>
      </c>
      <c r="M45">
        <v>0.248029000478139</v>
      </c>
      <c r="N45">
        <v>831</v>
      </c>
      <c r="T45">
        <v>261884</v>
      </c>
    </row>
    <row r="46" spans="1:21" x14ac:dyDescent="0.3">
      <c r="A46" s="1">
        <v>45258</v>
      </c>
      <c r="B46">
        <v>96</v>
      </c>
      <c r="C46">
        <v>1885.4399366120999</v>
      </c>
      <c r="D46">
        <v>2101.6052908162001</v>
      </c>
      <c r="E46">
        <v>65</v>
      </c>
      <c r="F46">
        <v>65</v>
      </c>
      <c r="K46">
        <v>0.50927671103792305</v>
      </c>
      <c r="L46">
        <v>1.5474475288441401</v>
      </c>
      <c r="M46">
        <v>0.26098599942946399</v>
      </c>
      <c r="N46">
        <v>3442</v>
      </c>
      <c r="R46">
        <v>3572642</v>
      </c>
      <c r="T46">
        <v>1910844</v>
      </c>
    </row>
    <row r="47" spans="1:21" x14ac:dyDescent="0.3">
      <c r="A47" s="1">
        <v>45259</v>
      </c>
      <c r="B47">
        <v>190</v>
      </c>
      <c r="C47">
        <v>2191.7752687504599</v>
      </c>
      <c r="D47">
        <v>4962.0134791575802</v>
      </c>
      <c r="E47">
        <v>124</v>
      </c>
      <c r="F47">
        <v>120</v>
      </c>
      <c r="K47">
        <v>0.70063313102145497</v>
      </c>
      <c r="L47">
        <v>2.0771025881473801</v>
      </c>
      <c r="M47">
        <v>0.25482029627166097</v>
      </c>
      <c r="N47">
        <v>7414</v>
      </c>
      <c r="R47">
        <v>6154921</v>
      </c>
      <c r="T47">
        <v>4577586</v>
      </c>
    </row>
    <row r="48" spans="1:21" x14ac:dyDescent="0.3">
      <c r="A48" s="1">
        <v>45260</v>
      </c>
      <c r="B48">
        <v>86</v>
      </c>
      <c r="C48">
        <v>1862.42731242529</v>
      </c>
      <c r="D48">
        <v>4337.2831961997199</v>
      </c>
      <c r="E48">
        <v>45</v>
      </c>
      <c r="F48">
        <v>45</v>
      </c>
      <c r="K48">
        <v>0.63031628846586396</v>
      </c>
      <c r="L48">
        <v>1.6087961924424301</v>
      </c>
      <c r="M48">
        <v>0.25979491408639999</v>
      </c>
      <c r="N48">
        <v>6382</v>
      </c>
      <c r="R48">
        <v>1033287</v>
      </c>
      <c r="T48">
        <v>4214624</v>
      </c>
    </row>
    <row r="49" spans="1:20" x14ac:dyDescent="0.3">
      <c r="A49" s="1">
        <v>45261</v>
      </c>
      <c r="B49">
        <v>56</v>
      </c>
      <c r="C49">
        <v>1757.8330994806299</v>
      </c>
      <c r="D49">
        <v>1757.8306193102001</v>
      </c>
      <c r="E49">
        <v>29</v>
      </c>
      <c r="F49">
        <v>27</v>
      </c>
      <c r="K49">
        <v>0.57465788678127405</v>
      </c>
      <c r="L49">
        <v>1.87550394917645</v>
      </c>
      <c r="M49">
        <v>0.25011158278656997</v>
      </c>
      <c r="N49">
        <v>2793</v>
      </c>
      <c r="R49">
        <v>1378641</v>
      </c>
      <c r="T49">
        <v>1955367</v>
      </c>
    </row>
    <row r="50" spans="1:20" x14ac:dyDescent="0.3">
      <c r="A50" s="1">
        <v>45262</v>
      </c>
      <c r="B50">
        <v>74</v>
      </c>
      <c r="C50">
        <v>1856.0339507665799</v>
      </c>
      <c r="D50">
        <v>2499.5314707419898</v>
      </c>
      <c r="E50">
        <v>39</v>
      </c>
      <c r="F50">
        <v>38</v>
      </c>
      <c r="K50">
        <v>0.63797425914460204</v>
      </c>
      <c r="L50">
        <v>2.4707237600691001</v>
      </c>
      <c r="M50">
        <v>0.26098599942946399</v>
      </c>
      <c r="N50">
        <v>3676</v>
      </c>
      <c r="R50">
        <v>1655528</v>
      </c>
      <c r="T50">
        <v>3434345</v>
      </c>
    </row>
    <row r="51" spans="1:20" x14ac:dyDescent="0.3">
      <c r="A51" s="1">
        <v>45263</v>
      </c>
      <c r="C51">
        <v>1571.8793270543899</v>
      </c>
      <c r="D51">
        <v>80.253194824560197</v>
      </c>
      <c r="K51">
        <v>0.34344268085687502</v>
      </c>
      <c r="L51">
        <v>0.49115908501860001</v>
      </c>
      <c r="M51">
        <v>0.25753701668435203</v>
      </c>
      <c r="N51">
        <v>250</v>
      </c>
      <c r="T51">
        <v>109910</v>
      </c>
    </row>
    <row r="52" spans="1:20" x14ac:dyDescent="0.3">
      <c r="A52" s="1">
        <v>45264</v>
      </c>
      <c r="B52">
        <v>83</v>
      </c>
      <c r="C52">
        <v>1807.2221864359001</v>
      </c>
      <c r="D52">
        <v>3392.7016000272602</v>
      </c>
      <c r="E52">
        <v>40</v>
      </c>
      <c r="F52">
        <v>40</v>
      </c>
      <c r="K52">
        <v>0.57596677282837505</v>
      </c>
      <c r="L52">
        <v>1.8426477559452401</v>
      </c>
      <c r="M52">
        <v>0.25011158278656997</v>
      </c>
      <c r="N52">
        <v>5516</v>
      </c>
      <c r="R52">
        <v>1551641</v>
      </c>
      <c r="T52">
        <v>2664973</v>
      </c>
    </row>
    <row r="53" spans="1:20" x14ac:dyDescent="0.3">
      <c r="A53" s="1">
        <v>45265</v>
      </c>
      <c r="B53">
        <v>79</v>
      </c>
      <c r="C53">
        <v>1827.66225254289</v>
      </c>
      <c r="D53">
        <v>2736.5378628943199</v>
      </c>
      <c r="E53">
        <v>43</v>
      </c>
      <c r="F53">
        <v>43</v>
      </c>
      <c r="K53">
        <v>0.691818430149166</v>
      </c>
      <c r="L53">
        <v>1.5117498252597701</v>
      </c>
      <c r="M53">
        <v>0.25138109453218499</v>
      </c>
      <c r="N53">
        <v>4341</v>
      </c>
      <c r="R53">
        <v>1825266</v>
      </c>
      <c r="T53">
        <v>2744013</v>
      </c>
    </row>
    <row r="54" spans="1:20" x14ac:dyDescent="0.3">
      <c r="A54" s="1">
        <v>45266</v>
      </c>
      <c r="B54">
        <v>98</v>
      </c>
      <c r="C54">
        <v>1896.84503636316</v>
      </c>
      <c r="D54">
        <v>2289.8070264503399</v>
      </c>
      <c r="E54">
        <v>57</v>
      </c>
      <c r="F54">
        <v>57</v>
      </c>
      <c r="K54">
        <v>0.60684702547577396</v>
      </c>
      <c r="L54">
        <v>1.60268392351621</v>
      </c>
      <c r="M54">
        <v>0.298767638875784</v>
      </c>
      <c r="N54">
        <v>3646</v>
      </c>
      <c r="R54">
        <v>3308771</v>
      </c>
      <c r="T54">
        <v>2397629</v>
      </c>
    </row>
    <row r="55" spans="1:20" x14ac:dyDescent="0.3">
      <c r="A55" s="1">
        <v>45267</v>
      </c>
      <c r="B55">
        <v>91</v>
      </c>
      <c r="C55">
        <v>1873.76079387392</v>
      </c>
      <c r="D55">
        <v>2614.1612586018</v>
      </c>
      <c r="E55">
        <v>68</v>
      </c>
      <c r="F55">
        <v>68</v>
      </c>
      <c r="K55">
        <v>0.72858302773942796</v>
      </c>
      <c r="L55">
        <v>1.76276501108332</v>
      </c>
      <c r="M55">
        <v>0.25011158278656997</v>
      </c>
      <c r="N55">
        <v>3940</v>
      </c>
      <c r="R55">
        <v>3093362</v>
      </c>
      <c r="T55">
        <v>2213273</v>
      </c>
    </row>
    <row r="56" spans="1:20" x14ac:dyDescent="0.3">
      <c r="A56" s="1">
        <v>45268</v>
      </c>
      <c r="B56">
        <v>72</v>
      </c>
      <c r="C56">
        <v>1790.7264336481201</v>
      </c>
      <c r="D56">
        <v>2261.1540068661802</v>
      </c>
      <c r="E56">
        <v>25</v>
      </c>
      <c r="F56">
        <v>25</v>
      </c>
      <c r="K56">
        <v>0.48445155528862399</v>
      </c>
      <c r="L56">
        <v>1.57537557019087</v>
      </c>
      <c r="M56">
        <v>0.24983953406802401</v>
      </c>
      <c r="N56">
        <v>3619</v>
      </c>
      <c r="R56">
        <v>1322084</v>
      </c>
      <c r="T56">
        <v>2619959</v>
      </c>
    </row>
    <row r="57" spans="1:20" x14ac:dyDescent="0.3">
      <c r="A57" s="1">
        <v>45269</v>
      </c>
      <c r="B57">
        <v>17</v>
      </c>
      <c r="C57">
        <v>1627.56824170236</v>
      </c>
      <c r="D57">
        <v>1074.4970632966099</v>
      </c>
      <c r="E57">
        <v>5</v>
      </c>
      <c r="F57">
        <v>5</v>
      </c>
      <c r="K57">
        <v>0.50907627617181495</v>
      </c>
      <c r="L57">
        <v>1.3708006014904199</v>
      </c>
      <c r="M57">
        <v>0.25011158278656997</v>
      </c>
      <c r="N57">
        <v>1685</v>
      </c>
      <c r="T57">
        <v>1108513</v>
      </c>
    </row>
    <row r="58" spans="1:20" x14ac:dyDescent="0.3">
      <c r="A58" s="1">
        <v>45270</v>
      </c>
      <c r="B58">
        <v>18</v>
      </c>
      <c r="C58">
        <v>1565.74999999999</v>
      </c>
      <c r="D58">
        <v>740.40289636453304</v>
      </c>
      <c r="K58">
        <v>0.403464281685328</v>
      </c>
      <c r="L58">
        <v>1.4455109797624</v>
      </c>
      <c r="M58">
        <v>0.251883508606706</v>
      </c>
      <c r="N58">
        <v>1424</v>
      </c>
    </row>
    <row r="59" spans="1:20" x14ac:dyDescent="0.3">
      <c r="A59" s="1">
        <v>45271</v>
      </c>
      <c r="B59">
        <v>59</v>
      </c>
      <c r="C59">
        <v>1718.37578100312</v>
      </c>
      <c r="D59">
        <v>1478.75201921895</v>
      </c>
      <c r="E59">
        <v>34</v>
      </c>
      <c r="F59">
        <v>34</v>
      </c>
      <c r="K59">
        <v>0.43727070251834499</v>
      </c>
      <c r="L59">
        <v>1.7308016150449901</v>
      </c>
      <c r="M59">
        <v>0.26808414903605798</v>
      </c>
      <c r="N59">
        <v>2221</v>
      </c>
      <c r="R59">
        <v>1777849</v>
      </c>
      <c r="T59">
        <v>832829</v>
      </c>
    </row>
    <row r="60" spans="1:20" x14ac:dyDescent="0.3">
      <c r="A60" s="1">
        <v>45272</v>
      </c>
      <c r="B60">
        <v>61</v>
      </c>
      <c r="C60">
        <v>1769.5438569769599</v>
      </c>
      <c r="D60">
        <v>2717.4814251345501</v>
      </c>
      <c r="E60">
        <v>26</v>
      </c>
      <c r="F60">
        <v>26</v>
      </c>
      <c r="K60">
        <v>0.47940736852920801</v>
      </c>
      <c r="L60">
        <v>1.8333316917176801</v>
      </c>
      <c r="M60">
        <v>0.267002162769713</v>
      </c>
      <c r="N60">
        <v>4102</v>
      </c>
      <c r="R60">
        <v>729209</v>
      </c>
      <c r="T60">
        <v>2874336</v>
      </c>
    </row>
    <row r="61" spans="1:20" x14ac:dyDescent="0.3">
      <c r="A61" s="1">
        <v>45273</v>
      </c>
      <c r="B61">
        <v>108</v>
      </c>
      <c r="C61">
        <v>1987.63723458507</v>
      </c>
      <c r="D61">
        <v>3321.9847720422499</v>
      </c>
      <c r="E61">
        <v>72</v>
      </c>
      <c r="F61">
        <v>72</v>
      </c>
      <c r="K61">
        <v>0.704094651397836</v>
      </c>
      <c r="L61">
        <v>1.82098574374849</v>
      </c>
      <c r="M61">
        <v>0.25203737954067301</v>
      </c>
      <c r="N61">
        <v>5054</v>
      </c>
      <c r="R61">
        <v>3485283</v>
      </c>
      <c r="T61">
        <v>3836879</v>
      </c>
    </row>
    <row r="62" spans="1:20" x14ac:dyDescent="0.3">
      <c r="A62" s="1">
        <v>45274</v>
      </c>
      <c r="B62">
        <v>71</v>
      </c>
      <c r="C62">
        <v>1789.3489130261</v>
      </c>
      <c r="D62">
        <v>3435.0488944379999</v>
      </c>
      <c r="E62">
        <v>41</v>
      </c>
      <c r="F62">
        <v>40</v>
      </c>
      <c r="K62">
        <v>0.69332899967487505</v>
      </c>
      <c r="L62">
        <v>2.08650584427888</v>
      </c>
      <c r="M62">
        <v>0.25011158278656997</v>
      </c>
      <c r="N62">
        <v>4863</v>
      </c>
      <c r="R62">
        <v>1087226</v>
      </c>
      <c r="T62">
        <v>2845310</v>
      </c>
    </row>
    <row r="63" spans="1:20" x14ac:dyDescent="0.3">
      <c r="A63" s="1">
        <v>45275</v>
      </c>
      <c r="B63">
        <v>133</v>
      </c>
      <c r="C63">
        <v>2014.6985452387601</v>
      </c>
      <c r="D63">
        <v>3978.28727735045</v>
      </c>
      <c r="E63">
        <v>64</v>
      </c>
      <c r="F63">
        <v>64</v>
      </c>
      <c r="K63">
        <v>0.63670051684892204</v>
      </c>
      <c r="L63">
        <v>1.53579724605118</v>
      </c>
      <c r="M63">
        <v>0.27245618306078301</v>
      </c>
      <c r="N63">
        <v>6199</v>
      </c>
      <c r="R63">
        <v>3142920</v>
      </c>
      <c r="T63">
        <v>4688376</v>
      </c>
    </row>
    <row r="64" spans="1:20" x14ac:dyDescent="0.3">
      <c r="A64" s="1">
        <v>45276</v>
      </c>
      <c r="B64">
        <v>67</v>
      </c>
      <c r="C64">
        <v>1790.4342239525399</v>
      </c>
      <c r="D64">
        <v>2089.5389737198898</v>
      </c>
      <c r="E64">
        <v>38</v>
      </c>
      <c r="F64">
        <v>38</v>
      </c>
      <c r="K64">
        <v>0.456299430590491</v>
      </c>
      <c r="L64">
        <v>1.4696465597223101</v>
      </c>
      <c r="M64">
        <v>0.271860416072358</v>
      </c>
      <c r="N64">
        <v>3221</v>
      </c>
      <c r="R64">
        <v>1815784</v>
      </c>
      <c r="T64">
        <v>2086590</v>
      </c>
    </row>
    <row r="65" spans="1:20" x14ac:dyDescent="0.3">
      <c r="A65" s="1">
        <v>45277</v>
      </c>
      <c r="B65">
        <v>33</v>
      </c>
      <c r="C65">
        <v>1827.79593562789</v>
      </c>
      <c r="D65">
        <v>2380.97891314563</v>
      </c>
      <c r="E65">
        <v>22</v>
      </c>
      <c r="F65">
        <v>22</v>
      </c>
      <c r="K65">
        <v>0.44029978309706502</v>
      </c>
      <c r="L65">
        <v>1.5244131121078099</v>
      </c>
      <c r="M65">
        <v>0.25011158278656997</v>
      </c>
      <c r="N65">
        <v>3525</v>
      </c>
      <c r="T65">
        <v>4698961</v>
      </c>
    </row>
    <row r="66" spans="1:20" x14ac:dyDescent="0.3">
      <c r="A66" s="1">
        <v>45278</v>
      </c>
      <c r="C66">
        <v>1567.6352518460601</v>
      </c>
      <c r="D66">
        <v>158.54899465339901</v>
      </c>
      <c r="K66">
        <v>0.330672800453575</v>
      </c>
      <c r="L66">
        <v>0.75415514909051595</v>
      </c>
      <c r="M66">
        <v>0.242185501436808</v>
      </c>
      <c r="N66">
        <v>365</v>
      </c>
      <c r="T66">
        <v>33806</v>
      </c>
    </row>
    <row r="67" spans="1:20" x14ac:dyDescent="0.3">
      <c r="A67" s="1">
        <v>45279</v>
      </c>
      <c r="B67">
        <v>50</v>
      </c>
      <c r="C67">
        <v>1738.5186353874799</v>
      </c>
      <c r="D67">
        <v>409.653171368811</v>
      </c>
      <c r="E67">
        <v>40</v>
      </c>
      <c r="F67">
        <v>40</v>
      </c>
      <c r="K67">
        <v>0.51008865093679601</v>
      </c>
      <c r="L67">
        <v>1.5241974420798301</v>
      </c>
      <c r="M67">
        <v>0.258014630055452</v>
      </c>
      <c r="N67">
        <v>782</v>
      </c>
      <c r="R67">
        <v>2479405</v>
      </c>
      <c r="T67">
        <v>445751</v>
      </c>
    </row>
    <row r="68" spans="1:20" x14ac:dyDescent="0.3">
      <c r="A68" s="1">
        <v>45280</v>
      </c>
      <c r="B68">
        <v>68</v>
      </c>
      <c r="C68">
        <v>1792.67991174244</v>
      </c>
      <c r="D68">
        <v>2418.58930849136</v>
      </c>
      <c r="E68">
        <v>42</v>
      </c>
      <c r="F68">
        <v>42</v>
      </c>
      <c r="K68">
        <v>0.54166308944199004</v>
      </c>
      <c r="L68">
        <v>1.44611168879977</v>
      </c>
      <c r="M68">
        <v>0.25163538861000101</v>
      </c>
      <c r="N68">
        <v>3674</v>
      </c>
      <c r="R68">
        <v>1760120</v>
      </c>
      <c r="T68">
        <v>2186405</v>
      </c>
    </row>
    <row r="69" spans="1:20" x14ac:dyDescent="0.3">
      <c r="A69" s="1">
        <v>45281</v>
      </c>
      <c r="B69">
        <v>9</v>
      </c>
      <c r="C69">
        <v>1589.9014223582101</v>
      </c>
      <c r="D69">
        <v>365.88831323875797</v>
      </c>
      <c r="E69">
        <v>1</v>
      </c>
      <c r="F69">
        <v>1</v>
      </c>
      <c r="K69">
        <v>0.60211800884612399</v>
      </c>
      <c r="L69">
        <v>1.8309562719797701</v>
      </c>
      <c r="M69">
        <v>0.25011158278656997</v>
      </c>
      <c r="N69">
        <v>558</v>
      </c>
      <c r="T69">
        <v>433079</v>
      </c>
    </row>
    <row r="70" spans="1:20" x14ac:dyDescent="0.3">
      <c r="A70" s="1">
        <v>45282</v>
      </c>
      <c r="B70">
        <v>54</v>
      </c>
      <c r="C70">
        <v>1691.9162140744299</v>
      </c>
      <c r="D70">
        <v>887.48224126168498</v>
      </c>
      <c r="E70">
        <v>31</v>
      </c>
      <c r="F70">
        <v>31</v>
      </c>
      <c r="K70">
        <v>0.53227772985820299</v>
      </c>
      <c r="L70">
        <v>1.48185547764995</v>
      </c>
      <c r="M70">
        <v>0.24684821359003301</v>
      </c>
      <c r="N70">
        <v>1502</v>
      </c>
      <c r="R70">
        <v>1931492</v>
      </c>
      <c r="T70">
        <v>196206</v>
      </c>
    </row>
    <row r="71" spans="1:20" x14ac:dyDescent="0.3">
      <c r="A71" s="1">
        <v>45283</v>
      </c>
      <c r="B71">
        <v>122</v>
      </c>
      <c r="C71">
        <v>1947.8273880407</v>
      </c>
      <c r="D71">
        <v>2297.4780100047701</v>
      </c>
      <c r="E71">
        <v>76</v>
      </c>
      <c r="F71">
        <v>76</v>
      </c>
      <c r="K71">
        <v>0.53709212613767499</v>
      </c>
      <c r="L71">
        <v>1.64095723168865</v>
      </c>
      <c r="M71">
        <v>0.271860416072358</v>
      </c>
      <c r="N71">
        <v>3468</v>
      </c>
      <c r="R71">
        <v>4470191</v>
      </c>
      <c r="T71">
        <v>2069183</v>
      </c>
    </row>
    <row r="72" spans="1:20" x14ac:dyDescent="0.3">
      <c r="A72" s="1">
        <v>45284</v>
      </c>
      <c r="B72">
        <v>10</v>
      </c>
      <c r="C72">
        <v>1587.57743176658</v>
      </c>
      <c r="D72">
        <v>417.63448848748101</v>
      </c>
      <c r="K72">
        <v>0.325636608651035</v>
      </c>
      <c r="L72">
        <v>1.17004804194482</v>
      </c>
      <c r="M72">
        <v>0.25467820184260398</v>
      </c>
      <c r="N72">
        <v>782</v>
      </c>
      <c r="T72">
        <v>391406</v>
      </c>
    </row>
    <row r="73" spans="1:20" x14ac:dyDescent="0.3">
      <c r="A73" s="1">
        <v>45285</v>
      </c>
      <c r="B73">
        <v>31</v>
      </c>
      <c r="C73">
        <v>1651.10684066061</v>
      </c>
      <c r="D73">
        <v>1031.89533940459</v>
      </c>
      <c r="E73">
        <v>21</v>
      </c>
      <c r="F73">
        <v>19</v>
      </c>
      <c r="K73">
        <v>0.60488726136326898</v>
      </c>
      <c r="L73">
        <v>1.8902352634965101</v>
      </c>
      <c r="M73">
        <v>0.29360924935814697</v>
      </c>
      <c r="N73">
        <v>1599</v>
      </c>
      <c r="R73">
        <v>894258</v>
      </c>
      <c r="T73">
        <v>573985</v>
      </c>
    </row>
    <row r="74" spans="1:20" x14ac:dyDescent="0.3">
      <c r="A74" s="1">
        <v>45286</v>
      </c>
      <c r="B74">
        <v>1</v>
      </c>
      <c r="C74">
        <v>1565.74999999999</v>
      </c>
      <c r="D74">
        <v>56.3740062789239</v>
      </c>
      <c r="K74">
        <v>0.32079528585218797</v>
      </c>
      <c r="L74">
        <v>0.32623248906044</v>
      </c>
      <c r="M74">
        <v>0.315358082643936</v>
      </c>
      <c r="N74">
        <v>210</v>
      </c>
    </row>
    <row r="75" spans="1:20" x14ac:dyDescent="0.3">
      <c r="A75" s="1">
        <v>45287</v>
      </c>
      <c r="B75">
        <v>20</v>
      </c>
      <c r="C75">
        <v>1628.1225552053299</v>
      </c>
      <c r="D75">
        <v>1109.52985539408</v>
      </c>
      <c r="E75">
        <v>4</v>
      </c>
      <c r="F75">
        <v>4</v>
      </c>
      <c r="K75">
        <v>0.510871154615408</v>
      </c>
      <c r="L75">
        <v>1.5823166644562301</v>
      </c>
      <c r="M75">
        <v>0.271860416072358</v>
      </c>
      <c r="N75">
        <v>1806</v>
      </c>
      <c r="T75">
        <v>1118096</v>
      </c>
    </row>
    <row r="76" spans="1:20" x14ac:dyDescent="0.3">
      <c r="A76" s="1">
        <v>45288</v>
      </c>
      <c r="B76">
        <v>3</v>
      </c>
      <c r="C76">
        <v>1565.75</v>
      </c>
      <c r="D76">
        <v>113.528909751816</v>
      </c>
      <c r="K76">
        <v>0.39316980386754402</v>
      </c>
      <c r="L76">
        <v>0.478005290283677</v>
      </c>
      <c r="M76">
        <v>0.271860416072358</v>
      </c>
      <c r="N76">
        <v>263</v>
      </c>
    </row>
    <row r="77" spans="1:20" x14ac:dyDescent="0.3">
      <c r="A77" s="1">
        <v>45289</v>
      </c>
      <c r="C77">
        <v>1565.75</v>
      </c>
      <c r="D77">
        <v>57.416919874482097</v>
      </c>
      <c r="K77">
        <v>0.42232032703975098</v>
      </c>
      <c r="L77">
        <v>0.45725486649050601</v>
      </c>
      <c r="M77">
        <v>0.315358082643936</v>
      </c>
      <c r="N77">
        <v>257</v>
      </c>
    </row>
    <row r="78" spans="1:20" x14ac:dyDescent="0.3">
      <c r="A78" s="1">
        <v>45290</v>
      </c>
      <c r="B78">
        <v>11</v>
      </c>
      <c r="C78">
        <v>1601.1661473957899</v>
      </c>
      <c r="D78">
        <v>602.75504183996998</v>
      </c>
      <c r="E78">
        <v>3</v>
      </c>
      <c r="F78">
        <v>3</v>
      </c>
      <c r="K78">
        <v>0.59370413368625696</v>
      </c>
      <c r="L78">
        <v>1.4964965880911001</v>
      </c>
      <c r="M78">
        <v>0.258009439599301</v>
      </c>
      <c r="N78">
        <v>945</v>
      </c>
      <c r="T78">
        <v>635077</v>
      </c>
    </row>
    <row r="79" spans="1:20" x14ac:dyDescent="0.3">
      <c r="A79" s="1">
        <v>45291</v>
      </c>
      <c r="B79">
        <v>9</v>
      </c>
      <c r="C79">
        <v>1586.23330217796</v>
      </c>
      <c r="D79">
        <v>518.73836537619604</v>
      </c>
      <c r="E79">
        <v>2</v>
      </c>
      <c r="F79">
        <v>2</v>
      </c>
      <c r="K79">
        <v>0.43065823676650999</v>
      </c>
      <c r="L79">
        <v>1.34079274981702</v>
      </c>
      <c r="M79">
        <v>0.31270686424402599</v>
      </c>
      <c r="N79">
        <v>991</v>
      </c>
      <c r="T79">
        <v>367303</v>
      </c>
    </row>
    <row r="80" spans="1:20" x14ac:dyDescent="0.3">
      <c r="A80" s="1">
        <v>45292</v>
      </c>
      <c r="B80">
        <v>14</v>
      </c>
      <c r="C80">
        <v>1595.13288129074</v>
      </c>
      <c r="D80">
        <v>608.80866027018601</v>
      </c>
      <c r="K80">
        <v>0.37653435344724601</v>
      </c>
      <c r="L80">
        <v>1.3094639041979901</v>
      </c>
      <c r="M80">
        <v>0.271860416072358</v>
      </c>
      <c r="N80">
        <v>1108</v>
      </c>
      <c r="T80">
        <v>526889</v>
      </c>
    </row>
    <row r="81" spans="1:21" x14ac:dyDescent="0.3">
      <c r="A81" s="1">
        <v>45293</v>
      </c>
      <c r="B81">
        <v>148</v>
      </c>
      <c r="C81">
        <v>2029.26418737176</v>
      </c>
      <c r="D81">
        <v>8077.24664048668</v>
      </c>
      <c r="E81">
        <v>73</v>
      </c>
      <c r="F81">
        <v>73</v>
      </c>
      <c r="K81">
        <v>0.53644058702320896</v>
      </c>
      <c r="L81">
        <v>1.7591086959711399</v>
      </c>
      <c r="M81">
        <v>0.25011158278656997</v>
      </c>
      <c r="N81">
        <v>11646</v>
      </c>
      <c r="R81">
        <v>1316355</v>
      </c>
      <c r="T81">
        <v>6903504</v>
      </c>
    </row>
    <row r="82" spans="1:21" x14ac:dyDescent="0.3">
      <c r="A82" s="1">
        <v>45294</v>
      </c>
      <c r="B82">
        <v>19</v>
      </c>
      <c r="C82">
        <v>1627.08955441491</v>
      </c>
      <c r="D82">
        <v>1023.12162781215</v>
      </c>
      <c r="E82">
        <v>6</v>
      </c>
      <c r="F82">
        <v>6</v>
      </c>
      <c r="K82">
        <v>0.47915321955731199</v>
      </c>
      <c r="L82">
        <v>1.5223484583321401</v>
      </c>
      <c r="M82">
        <v>0.26098599942946399</v>
      </c>
      <c r="N82">
        <v>1584</v>
      </c>
      <c r="T82">
        <v>1099930</v>
      </c>
    </row>
    <row r="83" spans="1:21" x14ac:dyDescent="0.3">
      <c r="A83" s="1">
        <v>45295</v>
      </c>
      <c r="B83">
        <v>64</v>
      </c>
      <c r="C83">
        <v>1744.9463452520199</v>
      </c>
      <c r="D83">
        <v>3842.3758620499202</v>
      </c>
      <c r="E83">
        <v>34</v>
      </c>
      <c r="F83">
        <v>22</v>
      </c>
      <c r="K83">
        <v>0.78318570498428497</v>
      </c>
      <c r="L83">
        <v>2.0962124879329398</v>
      </c>
      <c r="M83">
        <v>0.26098599942946399</v>
      </c>
      <c r="N83">
        <v>5496</v>
      </c>
      <c r="T83">
        <v>3213317</v>
      </c>
    </row>
    <row r="84" spans="1:21" x14ac:dyDescent="0.3">
      <c r="A84" s="1">
        <v>45296</v>
      </c>
      <c r="B84">
        <v>10</v>
      </c>
      <c r="C84">
        <v>1574.0470376533499</v>
      </c>
      <c r="D84">
        <v>480.44304900630601</v>
      </c>
      <c r="K84">
        <v>0.348466572843111</v>
      </c>
      <c r="L84">
        <v>1.1016702182601701</v>
      </c>
      <c r="M84">
        <v>0.25011158278656997</v>
      </c>
      <c r="N84">
        <v>848</v>
      </c>
      <c r="T84">
        <v>148781</v>
      </c>
    </row>
    <row r="85" spans="1:21" x14ac:dyDescent="0.3">
      <c r="A85" s="1">
        <v>45297</v>
      </c>
      <c r="C85">
        <v>1565.75</v>
      </c>
      <c r="D85">
        <v>15.0066949671941</v>
      </c>
      <c r="K85">
        <v>0.25011158278656997</v>
      </c>
      <c r="L85">
        <v>0.25011158278656997</v>
      </c>
      <c r="M85">
        <v>0.25011158278656997</v>
      </c>
      <c r="N85">
        <v>43</v>
      </c>
    </row>
    <row r="86" spans="1:21" x14ac:dyDescent="0.3">
      <c r="A86" s="1">
        <v>45298</v>
      </c>
      <c r="B86">
        <v>9</v>
      </c>
      <c r="C86">
        <v>1581.1962276244201</v>
      </c>
      <c r="D86">
        <v>447.584070117539</v>
      </c>
      <c r="K86">
        <v>0.491808598995984</v>
      </c>
      <c r="L86">
        <v>1.0839761668188499</v>
      </c>
      <c r="M86">
        <v>0.271860416072358</v>
      </c>
      <c r="N86">
        <v>803</v>
      </c>
      <c r="T86">
        <v>276979</v>
      </c>
    </row>
    <row r="87" spans="1:21" x14ac:dyDescent="0.3">
      <c r="A87" s="1">
        <v>45299</v>
      </c>
      <c r="B87">
        <v>15</v>
      </c>
      <c r="C87">
        <v>1617.6938623927899</v>
      </c>
      <c r="D87">
        <v>712.57639009929301</v>
      </c>
      <c r="E87">
        <v>3</v>
      </c>
      <c r="F87">
        <v>3</v>
      </c>
      <c r="K87">
        <v>0.57299907107070003</v>
      </c>
      <c r="L87">
        <v>1.4705678030663001</v>
      </c>
      <c r="M87">
        <v>0.25011158278656997</v>
      </c>
      <c r="N87">
        <v>1185</v>
      </c>
      <c r="T87">
        <v>931448</v>
      </c>
    </row>
    <row r="88" spans="1:21" x14ac:dyDescent="0.3">
      <c r="A88" s="1">
        <v>45300</v>
      </c>
      <c r="B88">
        <v>5</v>
      </c>
      <c r="C88">
        <v>1565.75</v>
      </c>
      <c r="D88">
        <v>220.393841864205</v>
      </c>
      <c r="K88">
        <v>0.36993173520082501</v>
      </c>
      <c r="L88">
        <v>1.15064525726817</v>
      </c>
      <c r="M88">
        <v>0.271860416072358</v>
      </c>
      <c r="N88">
        <v>534</v>
      </c>
    </row>
    <row r="89" spans="1:21" x14ac:dyDescent="0.3">
      <c r="A89" s="1">
        <v>45301</v>
      </c>
      <c r="B89">
        <v>2</v>
      </c>
      <c r="C89">
        <v>1565.75</v>
      </c>
      <c r="D89">
        <v>112.87644475324301</v>
      </c>
      <c r="K89">
        <v>0.33939840530444199</v>
      </c>
      <c r="L89">
        <v>0.52848665728181698</v>
      </c>
      <c r="M89">
        <v>0.26098599942946399</v>
      </c>
      <c r="N89">
        <v>271</v>
      </c>
    </row>
    <row r="90" spans="1:21" x14ac:dyDescent="0.3">
      <c r="A90" s="1">
        <v>45302</v>
      </c>
      <c r="B90">
        <v>19</v>
      </c>
      <c r="C90">
        <v>1586.42950369597</v>
      </c>
      <c r="D90">
        <v>777.72420583078701</v>
      </c>
      <c r="E90">
        <v>1</v>
      </c>
      <c r="F90">
        <v>1</v>
      </c>
      <c r="K90">
        <v>0.60518843369294095</v>
      </c>
      <c r="L90">
        <v>1.4320418913169699</v>
      </c>
      <c r="M90">
        <v>0.26098599942946399</v>
      </c>
      <c r="N90">
        <v>1371</v>
      </c>
      <c r="T90">
        <v>370821</v>
      </c>
    </row>
    <row r="91" spans="1:21" x14ac:dyDescent="0.3">
      <c r="A91" s="1">
        <v>45303</v>
      </c>
      <c r="B91">
        <v>86</v>
      </c>
      <c r="C91">
        <v>1854.14157857283</v>
      </c>
      <c r="D91">
        <v>3180.2151434225502</v>
      </c>
      <c r="E91">
        <v>57</v>
      </c>
      <c r="F91">
        <v>57</v>
      </c>
      <c r="K91">
        <v>0.67489649063930601</v>
      </c>
      <c r="L91">
        <v>1.4242594413734</v>
      </c>
      <c r="M91">
        <v>0.315358082643936</v>
      </c>
      <c r="N91">
        <v>4604</v>
      </c>
      <c r="R91">
        <v>2232812</v>
      </c>
      <c r="T91">
        <v>2782871</v>
      </c>
    </row>
    <row r="92" spans="1:21" x14ac:dyDescent="0.3">
      <c r="A92" s="1">
        <v>45304</v>
      </c>
      <c r="B92">
        <v>1</v>
      </c>
      <c r="C92">
        <v>1565.75</v>
      </c>
      <c r="D92">
        <v>106.689742588732</v>
      </c>
      <c r="K92">
        <v>0.37290815776270497</v>
      </c>
      <c r="L92">
        <v>1.3064535627440099</v>
      </c>
      <c r="M92">
        <v>0.29360924935814697</v>
      </c>
      <c r="N92">
        <v>254</v>
      </c>
    </row>
    <row r="93" spans="1:21" x14ac:dyDescent="0.3">
      <c r="A93" s="1">
        <v>45305</v>
      </c>
      <c r="B93">
        <v>36</v>
      </c>
      <c r="C93">
        <v>1747.46977947916</v>
      </c>
      <c r="D93">
        <v>153.74008279860001</v>
      </c>
      <c r="E93">
        <v>32</v>
      </c>
      <c r="F93">
        <v>32</v>
      </c>
      <c r="K93">
        <v>0.391929696551783</v>
      </c>
      <c r="L93">
        <v>0.522930608231857</v>
      </c>
      <c r="M93">
        <v>0.32623246981076698</v>
      </c>
      <c r="N93">
        <v>265</v>
      </c>
      <c r="R93">
        <v>1949709</v>
      </c>
      <c r="T93">
        <v>1172895</v>
      </c>
    </row>
    <row r="94" spans="1:21" x14ac:dyDescent="0.3">
      <c r="A94" s="1">
        <v>45306</v>
      </c>
      <c r="B94">
        <v>31</v>
      </c>
      <c r="C94">
        <v>1656.57899775193</v>
      </c>
      <c r="D94">
        <v>1989.7371657835299</v>
      </c>
      <c r="E94">
        <v>17</v>
      </c>
      <c r="F94">
        <v>17</v>
      </c>
      <c r="K94">
        <v>0.56827437569066197</v>
      </c>
      <c r="L94">
        <v>1.3357218544349001</v>
      </c>
      <c r="M94">
        <v>0.252637209079906</v>
      </c>
      <c r="N94">
        <v>3084</v>
      </c>
      <c r="T94">
        <v>1628730</v>
      </c>
    </row>
    <row r="95" spans="1:21" x14ac:dyDescent="0.3">
      <c r="A95" s="1">
        <v>45307</v>
      </c>
      <c r="B95">
        <v>60</v>
      </c>
      <c r="C95">
        <v>1764.82617567888</v>
      </c>
      <c r="D95">
        <v>2644.94630853644</v>
      </c>
      <c r="E95">
        <v>39</v>
      </c>
      <c r="F95">
        <v>39</v>
      </c>
      <c r="K95">
        <v>0.57886971932527598</v>
      </c>
      <c r="L95">
        <v>1.4579745217881299</v>
      </c>
      <c r="M95">
        <v>0.25011158278656997</v>
      </c>
      <c r="N95">
        <v>3843</v>
      </c>
      <c r="R95">
        <v>1201154</v>
      </c>
      <c r="T95">
        <v>2091404</v>
      </c>
      <c r="U95">
        <v>84485</v>
      </c>
    </row>
    <row r="96" spans="1:21" x14ac:dyDescent="0.3">
      <c r="A96" s="1">
        <v>45308</v>
      </c>
      <c r="B96">
        <v>31</v>
      </c>
      <c r="C96">
        <v>1644.9471800911999</v>
      </c>
      <c r="D96">
        <v>2046.0274261817301</v>
      </c>
      <c r="E96">
        <v>18</v>
      </c>
      <c r="F96">
        <v>13</v>
      </c>
      <c r="K96">
        <v>0.61674951845624704</v>
      </c>
      <c r="L96">
        <v>2.2981873640714698</v>
      </c>
      <c r="M96">
        <v>0.26098599942946399</v>
      </c>
      <c r="N96">
        <v>2926</v>
      </c>
      <c r="T96">
        <v>1420150</v>
      </c>
    </row>
    <row r="97" spans="1:21" x14ac:dyDescent="0.3">
      <c r="A97" s="1">
        <v>45309</v>
      </c>
      <c r="B97">
        <v>79</v>
      </c>
      <c r="C97">
        <v>1848.5693881018899</v>
      </c>
      <c r="D97">
        <v>2799.3465462879799</v>
      </c>
      <c r="E97">
        <v>41</v>
      </c>
      <c r="F97">
        <v>41</v>
      </c>
      <c r="K97">
        <v>0.76043744322710105</v>
      </c>
      <c r="L97">
        <v>1.7604355816644499</v>
      </c>
      <c r="M97">
        <v>0.26466483130917701</v>
      </c>
      <c r="N97">
        <v>4161</v>
      </c>
      <c r="R97">
        <v>1707066</v>
      </c>
      <c r="T97">
        <v>3244883</v>
      </c>
    </row>
    <row r="98" spans="1:21" x14ac:dyDescent="0.3">
      <c r="A98" s="1">
        <v>45310</v>
      </c>
      <c r="B98">
        <v>83</v>
      </c>
      <c r="C98">
        <v>1810.0861802997299</v>
      </c>
      <c r="D98">
        <v>4077.3351865320601</v>
      </c>
      <c r="E98">
        <v>45</v>
      </c>
      <c r="F98">
        <v>45</v>
      </c>
      <c r="K98">
        <v>0.693172566888134</v>
      </c>
      <c r="L98">
        <v>1.6182189873903201</v>
      </c>
      <c r="M98">
        <v>0.271860416072358</v>
      </c>
      <c r="N98">
        <v>6244</v>
      </c>
      <c r="R98">
        <v>1113504</v>
      </c>
      <c r="T98">
        <v>3190239</v>
      </c>
    </row>
    <row r="99" spans="1:21" x14ac:dyDescent="0.3">
      <c r="A99" s="1">
        <v>45311</v>
      </c>
      <c r="B99">
        <v>112</v>
      </c>
      <c r="C99">
        <v>1836.2685488775001</v>
      </c>
      <c r="D99">
        <v>3486.0977261575099</v>
      </c>
      <c r="E99">
        <v>42</v>
      </c>
      <c r="F99">
        <v>42</v>
      </c>
      <c r="K99">
        <v>0.45826732601146097</v>
      </c>
      <c r="L99">
        <v>1.8823219066827399</v>
      </c>
      <c r="M99">
        <v>0.28273483271525301</v>
      </c>
      <c r="N99">
        <v>5424</v>
      </c>
      <c r="R99">
        <v>2131990</v>
      </c>
      <c r="T99">
        <v>2570225</v>
      </c>
    </row>
    <row r="100" spans="1:21" x14ac:dyDescent="0.3">
      <c r="A100" s="1">
        <v>45312</v>
      </c>
      <c r="B100">
        <v>147</v>
      </c>
      <c r="C100">
        <v>2023.3134109667601</v>
      </c>
      <c r="D100">
        <v>9778.2214726993407</v>
      </c>
      <c r="E100">
        <v>83</v>
      </c>
      <c r="F100">
        <v>83</v>
      </c>
      <c r="K100">
        <v>0.75107526677043901</v>
      </c>
      <c r="L100">
        <v>1.7431992383633199</v>
      </c>
      <c r="M100">
        <v>0.25011158278656997</v>
      </c>
      <c r="N100">
        <v>13855</v>
      </c>
      <c r="T100">
        <v>8200964</v>
      </c>
    </row>
    <row r="101" spans="1:21" x14ac:dyDescent="0.3">
      <c r="A101" s="1">
        <v>45313</v>
      </c>
      <c r="B101">
        <v>113</v>
      </c>
      <c r="C101">
        <v>1808.4761051723999</v>
      </c>
      <c r="D101">
        <v>4771.2829240574902</v>
      </c>
      <c r="E101">
        <v>40</v>
      </c>
      <c r="F101">
        <v>39</v>
      </c>
      <c r="K101">
        <v>0.46428072401602999</v>
      </c>
      <c r="L101">
        <v>2.12242122530848</v>
      </c>
      <c r="M101">
        <v>0.24917012244099801</v>
      </c>
      <c r="N101">
        <v>7429</v>
      </c>
      <c r="R101">
        <v>1341175</v>
      </c>
      <c r="T101">
        <v>2917819</v>
      </c>
    </row>
    <row r="102" spans="1:21" x14ac:dyDescent="0.3">
      <c r="A102" s="1">
        <v>45314</v>
      </c>
      <c r="B102">
        <v>49</v>
      </c>
      <c r="C102">
        <v>1712.9126754516401</v>
      </c>
      <c r="D102">
        <v>1101.2253095594899</v>
      </c>
      <c r="E102">
        <v>26</v>
      </c>
      <c r="F102">
        <v>26</v>
      </c>
      <c r="K102">
        <v>0.80968092098078004</v>
      </c>
      <c r="L102">
        <v>1.5464654910583999</v>
      </c>
      <c r="M102">
        <v>0.25011158278656997</v>
      </c>
      <c r="N102">
        <v>1867</v>
      </c>
      <c r="R102">
        <v>1661354</v>
      </c>
      <c r="T102">
        <v>861688</v>
      </c>
    </row>
    <row r="103" spans="1:21" x14ac:dyDescent="0.3">
      <c r="A103" s="1">
        <v>45315</v>
      </c>
      <c r="B103">
        <v>99</v>
      </c>
      <c r="C103">
        <v>1825.2785553241299</v>
      </c>
      <c r="D103">
        <v>4536.5379741001298</v>
      </c>
      <c r="E103">
        <v>44</v>
      </c>
      <c r="F103">
        <v>44</v>
      </c>
      <c r="K103">
        <v>0.50278705618748498</v>
      </c>
      <c r="L103">
        <v>1.68916383872422</v>
      </c>
      <c r="M103">
        <v>0.25011158278656997</v>
      </c>
      <c r="N103">
        <v>6679</v>
      </c>
      <c r="R103">
        <v>1374410</v>
      </c>
      <c r="T103">
        <v>3183566</v>
      </c>
    </row>
    <row r="104" spans="1:21" x14ac:dyDescent="0.3">
      <c r="A104" s="1">
        <v>45316</v>
      </c>
      <c r="B104">
        <v>75</v>
      </c>
      <c r="C104">
        <v>1796.1802039827401</v>
      </c>
      <c r="D104">
        <v>2358.4434625765398</v>
      </c>
      <c r="E104">
        <v>46</v>
      </c>
      <c r="F104">
        <v>46</v>
      </c>
      <c r="K104">
        <v>0.59897419817917097</v>
      </c>
      <c r="L104">
        <v>1.9150029210509301</v>
      </c>
      <c r="M104">
        <v>0.26098599942946399</v>
      </c>
      <c r="N104">
        <v>3547</v>
      </c>
      <c r="R104">
        <v>2231149</v>
      </c>
      <c r="T104">
        <v>1745294</v>
      </c>
    </row>
    <row r="105" spans="1:21" x14ac:dyDescent="0.3">
      <c r="A105" s="1">
        <v>45317</v>
      </c>
      <c r="B105">
        <v>185</v>
      </c>
      <c r="C105">
        <v>2162.9682010074798</v>
      </c>
      <c r="D105">
        <v>3556.42446855249</v>
      </c>
      <c r="E105">
        <v>139</v>
      </c>
      <c r="F105">
        <v>139</v>
      </c>
      <c r="K105">
        <v>0.389027696591978</v>
      </c>
      <c r="L105">
        <v>1.40718127957032</v>
      </c>
      <c r="M105">
        <v>0.25011158278656997</v>
      </c>
      <c r="N105">
        <v>5242</v>
      </c>
      <c r="R105">
        <v>7284445</v>
      </c>
      <c r="T105">
        <v>2916785</v>
      </c>
    </row>
    <row r="106" spans="1:21" x14ac:dyDescent="0.3">
      <c r="A106" s="1">
        <v>45318</v>
      </c>
      <c r="B106">
        <v>255</v>
      </c>
      <c r="C106">
        <v>2310.9798734470801</v>
      </c>
      <c r="D106">
        <v>13447.3306595788</v>
      </c>
      <c r="E106">
        <v>59</v>
      </c>
      <c r="F106">
        <v>58</v>
      </c>
      <c r="K106">
        <v>0.61623550121308202</v>
      </c>
      <c r="L106">
        <v>2.15356552070552</v>
      </c>
      <c r="M106">
        <v>0.244331101813476</v>
      </c>
      <c r="N106">
        <v>19898</v>
      </c>
      <c r="T106">
        <v>13125504</v>
      </c>
      <c r="U106">
        <v>100187</v>
      </c>
    </row>
    <row r="107" spans="1:21" x14ac:dyDescent="0.3">
      <c r="A107" s="1">
        <v>45319</v>
      </c>
      <c r="B107">
        <v>220</v>
      </c>
      <c r="C107">
        <v>2108.5351536959201</v>
      </c>
      <c r="D107">
        <v>10304.604386478701</v>
      </c>
      <c r="E107">
        <v>37</v>
      </c>
      <c r="F107">
        <v>35</v>
      </c>
      <c r="K107">
        <v>0.64669848012989894</v>
      </c>
      <c r="L107">
        <v>2.5214646227259299</v>
      </c>
      <c r="M107">
        <v>0.25933299620230299</v>
      </c>
      <c r="N107">
        <v>15465</v>
      </c>
      <c r="T107">
        <v>9458086</v>
      </c>
      <c r="U107">
        <v>106149</v>
      </c>
    </row>
    <row r="108" spans="1:21" x14ac:dyDescent="0.3">
      <c r="A108" s="1">
        <v>45320</v>
      </c>
      <c r="B108">
        <v>46</v>
      </c>
      <c r="C108">
        <v>1691.8977941898199</v>
      </c>
      <c r="D108">
        <v>1837.6268836471099</v>
      </c>
      <c r="E108">
        <v>17</v>
      </c>
      <c r="F108">
        <v>17</v>
      </c>
      <c r="K108">
        <v>0.52727642808116604</v>
      </c>
      <c r="L108">
        <v>2.0061278624037802</v>
      </c>
      <c r="M108">
        <v>0.29360924935814697</v>
      </c>
      <c r="N108">
        <v>2875</v>
      </c>
      <c r="R108">
        <v>712741</v>
      </c>
      <c r="T108">
        <v>1499616</v>
      </c>
    </row>
    <row r="109" spans="1:21" x14ac:dyDescent="0.3">
      <c r="A109" s="1">
        <v>45321</v>
      </c>
      <c r="B109">
        <v>113</v>
      </c>
      <c r="C109">
        <v>1893.5549449242901</v>
      </c>
      <c r="D109">
        <v>5181.1088791018501</v>
      </c>
      <c r="E109">
        <v>52</v>
      </c>
      <c r="F109">
        <v>50</v>
      </c>
      <c r="K109">
        <v>0.45417362902543201</v>
      </c>
      <c r="L109">
        <v>1.90626799314079</v>
      </c>
      <c r="M109">
        <v>0.25011158278656997</v>
      </c>
      <c r="N109">
        <v>7546</v>
      </c>
      <c r="R109">
        <v>1381382</v>
      </c>
      <c r="T109">
        <v>4400428</v>
      </c>
    </row>
    <row r="110" spans="1:21" x14ac:dyDescent="0.3">
      <c r="A110" s="1">
        <v>45322</v>
      </c>
      <c r="B110">
        <v>94</v>
      </c>
      <c r="C110">
        <v>1890.47424629596</v>
      </c>
      <c r="D110">
        <v>2442.0519457829901</v>
      </c>
      <c r="E110">
        <v>59</v>
      </c>
      <c r="F110">
        <v>59</v>
      </c>
      <c r="K110">
        <v>0.47592680590638098</v>
      </c>
      <c r="L110">
        <v>1.51062666744378</v>
      </c>
      <c r="M110">
        <v>0.25193731322073798</v>
      </c>
      <c r="N110">
        <v>3907</v>
      </c>
      <c r="R110">
        <v>3213890</v>
      </c>
      <c r="T110">
        <v>2384888</v>
      </c>
    </row>
    <row r="111" spans="1:21" x14ac:dyDescent="0.3">
      <c r="A111" s="1">
        <v>45323</v>
      </c>
      <c r="B111">
        <v>63</v>
      </c>
      <c r="C111">
        <v>1798.43908167888</v>
      </c>
      <c r="D111">
        <v>1662.65136293623</v>
      </c>
      <c r="E111">
        <v>42</v>
      </c>
      <c r="F111">
        <v>42</v>
      </c>
      <c r="K111">
        <v>0.62362841110397704</v>
      </c>
      <c r="L111">
        <v>1.6993877150054999</v>
      </c>
      <c r="M111">
        <v>0.25011158278656997</v>
      </c>
      <c r="N111">
        <v>2551</v>
      </c>
      <c r="R111">
        <v>2120661</v>
      </c>
      <c r="T111">
        <v>1900416</v>
      </c>
    </row>
    <row r="112" spans="1:21" x14ac:dyDescent="0.3">
      <c r="A112" s="1">
        <v>45324</v>
      </c>
      <c r="B112">
        <v>109</v>
      </c>
      <c r="C112">
        <v>1914.5973916266601</v>
      </c>
      <c r="D112">
        <v>3103.9676462295101</v>
      </c>
      <c r="E112">
        <v>58</v>
      </c>
      <c r="F112">
        <v>58</v>
      </c>
      <c r="K112">
        <v>0.63392741778468897</v>
      </c>
      <c r="L112">
        <v>1.6070265755933999</v>
      </c>
      <c r="M112">
        <v>0.25011158278656997</v>
      </c>
      <c r="N112">
        <v>4764</v>
      </c>
      <c r="R112">
        <v>3201435</v>
      </c>
      <c r="T112">
        <v>2830783</v>
      </c>
    </row>
    <row r="113" spans="1:21" x14ac:dyDescent="0.3">
      <c r="A113" s="1">
        <v>45325</v>
      </c>
      <c r="B113">
        <v>146</v>
      </c>
      <c r="C113">
        <v>2022.3240205781101</v>
      </c>
      <c r="D113">
        <v>3216.1334137389499</v>
      </c>
      <c r="E113">
        <v>98</v>
      </c>
      <c r="F113">
        <v>98</v>
      </c>
      <c r="K113">
        <v>0.44354899048067398</v>
      </c>
      <c r="L113">
        <v>1.7570384572600499</v>
      </c>
      <c r="M113">
        <v>0.24992964497994399</v>
      </c>
      <c r="N113">
        <v>4977</v>
      </c>
      <c r="R113">
        <v>5282124</v>
      </c>
      <c r="T113">
        <v>2536732</v>
      </c>
    </row>
    <row r="114" spans="1:21" x14ac:dyDescent="0.3">
      <c r="A114" s="1">
        <v>45326</v>
      </c>
      <c r="B114">
        <v>9</v>
      </c>
      <c r="C114">
        <v>1590.0270452539901</v>
      </c>
      <c r="D114">
        <v>408.86730429716198</v>
      </c>
      <c r="K114">
        <v>0.32771857158116902</v>
      </c>
      <c r="L114">
        <v>1.3881720326707201</v>
      </c>
      <c r="M114">
        <v>0.25011158278656997</v>
      </c>
      <c r="N114">
        <v>734</v>
      </c>
      <c r="T114">
        <v>435332</v>
      </c>
    </row>
    <row r="115" spans="1:21" x14ac:dyDescent="0.3">
      <c r="A115" s="1">
        <v>45327</v>
      </c>
      <c r="B115">
        <v>139</v>
      </c>
      <c r="C115">
        <v>2032.6669168144599</v>
      </c>
      <c r="D115">
        <v>4199.6345291150801</v>
      </c>
      <c r="E115">
        <v>77</v>
      </c>
      <c r="F115">
        <v>77</v>
      </c>
      <c r="K115">
        <v>0.59466683184197899</v>
      </c>
      <c r="L115">
        <v>1.7579911868143501</v>
      </c>
      <c r="M115">
        <v>0.26098599942946399</v>
      </c>
      <c r="N115">
        <v>6205</v>
      </c>
      <c r="R115">
        <v>3544707</v>
      </c>
      <c r="T115">
        <v>4580573</v>
      </c>
    </row>
    <row r="116" spans="1:21" x14ac:dyDescent="0.3">
      <c r="A116" s="1">
        <v>45328</v>
      </c>
      <c r="B116">
        <v>130</v>
      </c>
      <c r="C116">
        <v>2017.2846974305201</v>
      </c>
      <c r="D116">
        <v>5242.1387662892403</v>
      </c>
      <c r="E116">
        <v>54</v>
      </c>
      <c r="F116">
        <v>54</v>
      </c>
      <c r="K116">
        <v>0.52831073215559299</v>
      </c>
      <c r="L116">
        <v>1.5639611928797601</v>
      </c>
      <c r="M116">
        <v>0.25011158278656997</v>
      </c>
      <c r="N116">
        <v>8044</v>
      </c>
      <c r="R116">
        <v>2139381</v>
      </c>
      <c r="T116">
        <v>5808271</v>
      </c>
    </row>
    <row r="117" spans="1:21" x14ac:dyDescent="0.3">
      <c r="A117" s="1">
        <v>45329</v>
      </c>
      <c r="B117">
        <v>130</v>
      </c>
      <c r="C117">
        <v>2033.0802436855199</v>
      </c>
      <c r="D117">
        <v>5459.7624319591996</v>
      </c>
      <c r="E117">
        <v>50</v>
      </c>
      <c r="F117">
        <v>50</v>
      </c>
      <c r="K117">
        <v>0.56383329226816603</v>
      </c>
      <c r="L117">
        <v>1.7089553736248999</v>
      </c>
      <c r="M117">
        <v>0.249852325090651</v>
      </c>
      <c r="N117">
        <v>8288</v>
      </c>
      <c r="R117">
        <v>1587448</v>
      </c>
      <c r="T117">
        <v>6292678</v>
      </c>
      <c r="U117">
        <v>169974</v>
      </c>
    </row>
    <row r="118" spans="1:21" x14ac:dyDescent="0.3">
      <c r="A118" s="1">
        <v>45330</v>
      </c>
      <c r="B118">
        <v>74</v>
      </c>
      <c r="C118">
        <v>1777.4593407397699</v>
      </c>
      <c r="D118">
        <v>2639.4365107487702</v>
      </c>
      <c r="E118">
        <v>33</v>
      </c>
      <c r="F118">
        <v>33</v>
      </c>
      <c r="K118">
        <v>0.62939902736891695</v>
      </c>
      <c r="L118">
        <v>1.53115349325685</v>
      </c>
      <c r="M118">
        <v>0.26098599942946399</v>
      </c>
      <c r="N118">
        <v>4161</v>
      </c>
      <c r="R118">
        <v>1547739</v>
      </c>
      <c r="T118">
        <v>2140664</v>
      </c>
    </row>
    <row r="119" spans="1:21" x14ac:dyDescent="0.3">
      <c r="A119" s="1">
        <v>45331</v>
      </c>
      <c r="B119">
        <v>128</v>
      </c>
      <c r="C119">
        <v>2017.76676902431</v>
      </c>
      <c r="D119">
        <v>4959.3662920200204</v>
      </c>
      <c r="E119">
        <v>66</v>
      </c>
      <c r="F119">
        <v>66</v>
      </c>
      <c r="K119">
        <v>0.54829613846021197</v>
      </c>
      <c r="L119">
        <v>1.5337883294530501</v>
      </c>
      <c r="M119">
        <v>0.26098599942946399</v>
      </c>
      <c r="N119">
        <v>7482</v>
      </c>
      <c r="R119">
        <v>2524732</v>
      </c>
      <c r="T119">
        <v>5404692</v>
      </c>
    </row>
    <row r="120" spans="1:21" x14ac:dyDescent="0.3">
      <c r="A120" s="1">
        <v>45332</v>
      </c>
      <c r="B120">
        <v>80</v>
      </c>
      <c r="C120">
        <v>1872.05644671081</v>
      </c>
      <c r="D120">
        <v>4979.3429816422904</v>
      </c>
      <c r="E120">
        <v>35</v>
      </c>
      <c r="F120">
        <v>34</v>
      </c>
      <c r="K120">
        <v>0.50319108077126995</v>
      </c>
      <c r="L120">
        <v>1.88747501415894</v>
      </c>
      <c r="M120">
        <v>0.25011158278656997</v>
      </c>
      <c r="N120">
        <v>7213</v>
      </c>
      <c r="T120">
        <v>5492633</v>
      </c>
    </row>
    <row r="121" spans="1:21" x14ac:dyDescent="0.3">
      <c r="A121" s="1">
        <v>45333</v>
      </c>
      <c r="B121">
        <v>172</v>
      </c>
      <c r="C121">
        <v>2135.5107059536699</v>
      </c>
      <c r="D121">
        <v>11326.0151752819</v>
      </c>
      <c r="E121">
        <v>110</v>
      </c>
      <c r="F121">
        <v>109</v>
      </c>
      <c r="K121">
        <v>0.58135474594501602</v>
      </c>
      <c r="L121">
        <v>2.066467689045</v>
      </c>
      <c r="M121">
        <v>0.25011158278656997</v>
      </c>
      <c r="N121">
        <v>16250</v>
      </c>
      <c r="T121">
        <v>10216848</v>
      </c>
    </row>
    <row r="122" spans="1:21" x14ac:dyDescent="0.3">
      <c r="A122" s="1">
        <v>45334</v>
      </c>
      <c r="B122">
        <v>96</v>
      </c>
      <c r="C122">
        <v>1913.0420679866199</v>
      </c>
      <c r="D122">
        <v>2388.44904186965</v>
      </c>
      <c r="E122">
        <v>58</v>
      </c>
      <c r="F122">
        <v>58</v>
      </c>
      <c r="K122">
        <v>0.52989756004160304</v>
      </c>
      <c r="L122">
        <v>1.4943348020596801</v>
      </c>
      <c r="M122">
        <v>0.26427340262837501</v>
      </c>
      <c r="N122">
        <v>3638</v>
      </c>
      <c r="R122">
        <v>3224376</v>
      </c>
      <c r="T122">
        <v>2778353</v>
      </c>
    </row>
    <row r="123" spans="1:21" x14ac:dyDescent="0.3">
      <c r="A123" s="1">
        <v>45335</v>
      </c>
      <c r="B123">
        <v>104</v>
      </c>
      <c r="C123">
        <v>1863.7814012562001</v>
      </c>
      <c r="D123">
        <v>2628.5683741692901</v>
      </c>
      <c r="E123">
        <v>48</v>
      </c>
      <c r="F123">
        <v>48</v>
      </c>
      <c r="K123">
        <v>0.57420960885728201</v>
      </c>
      <c r="L123">
        <v>1.50776766648353</v>
      </c>
      <c r="M123">
        <v>0.25011158278656997</v>
      </c>
      <c r="N123">
        <v>4036</v>
      </c>
      <c r="R123">
        <v>2810147</v>
      </c>
      <c r="T123">
        <v>2338134</v>
      </c>
    </row>
    <row r="124" spans="1:21" x14ac:dyDescent="0.3">
      <c r="A124" s="1">
        <v>45336</v>
      </c>
      <c r="B124">
        <v>66</v>
      </c>
      <c r="C124">
        <v>1750.09064120584</v>
      </c>
      <c r="D124">
        <v>3120.7875091391402</v>
      </c>
      <c r="E124">
        <v>27</v>
      </c>
      <c r="F124">
        <v>27</v>
      </c>
      <c r="K124">
        <v>0.53975281519706697</v>
      </c>
      <c r="L124">
        <v>1.5684160424567</v>
      </c>
      <c r="M124">
        <v>0.25011158278656997</v>
      </c>
      <c r="N124">
        <v>4682</v>
      </c>
      <c r="R124">
        <v>793995</v>
      </c>
      <c r="T124">
        <v>2456201</v>
      </c>
    </row>
    <row r="125" spans="1:21" x14ac:dyDescent="0.3">
      <c r="A125" s="1">
        <v>45337</v>
      </c>
      <c r="B125">
        <v>59</v>
      </c>
      <c r="C125">
        <v>1720.6751157801</v>
      </c>
      <c r="D125">
        <v>2218.90804505093</v>
      </c>
      <c r="E125">
        <v>31</v>
      </c>
      <c r="F125">
        <v>30</v>
      </c>
      <c r="K125">
        <v>0.55091404478333805</v>
      </c>
      <c r="L125">
        <v>2.0348322510752199</v>
      </c>
      <c r="M125">
        <v>0.25127391547000999</v>
      </c>
      <c r="N125">
        <v>3362</v>
      </c>
      <c r="R125">
        <v>1295382</v>
      </c>
      <c r="T125">
        <v>1392375</v>
      </c>
    </row>
    <row r="126" spans="1:21" x14ac:dyDescent="0.3">
      <c r="A126" s="1">
        <v>45338</v>
      </c>
      <c r="B126">
        <v>84</v>
      </c>
      <c r="C126">
        <v>1841.8018148450101</v>
      </c>
      <c r="D126">
        <v>3379.63421333922</v>
      </c>
      <c r="E126">
        <v>20</v>
      </c>
      <c r="F126">
        <v>20</v>
      </c>
      <c r="K126">
        <v>0.60031945309981605</v>
      </c>
      <c r="L126">
        <v>1.5916269117284501</v>
      </c>
      <c r="M126">
        <v>0.271860416072358</v>
      </c>
      <c r="N126">
        <v>5313</v>
      </c>
      <c r="R126">
        <v>754468</v>
      </c>
      <c r="T126">
        <v>4143030</v>
      </c>
    </row>
    <row r="127" spans="1:21" x14ac:dyDescent="0.3">
      <c r="A127" s="1">
        <v>45339</v>
      </c>
      <c r="B127">
        <v>155</v>
      </c>
      <c r="C127">
        <v>2020.17876702426</v>
      </c>
      <c r="D127">
        <v>5973.0806922669999</v>
      </c>
      <c r="E127">
        <v>64</v>
      </c>
      <c r="F127">
        <v>64</v>
      </c>
      <c r="K127">
        <v>0.566565218290636</v>
      </c>
      <c r="L127">
        <v>1.6164040590783899</v>
      </c>
      <c r="M127">
        <v>0.250563276465957</v>
      </c>
      <c r="N127">
        <v>9040</v>
      </c>
      <c r="R127">
        <v>2267070</v>
      </c>
      <c r="T127">
        <v>5723574</v>
      </c>
    </row>
    <row r="128" spans="1:21" x14ac:dyDescent="0.3">
      <c r="A128" s="1">
        <v>45340</v>
      </c>
      <c r="B128">
        <v>46</v>
      </c>
      <c r="C128">
        <v>1726.9659914814799</v>
      </c>
      <c r="D128">
        <v>242.06451447082799</v>
      </c>
      <c r="E128">
        <v>43</v>
      </c>
      <c r="F128">
        <v>43</v>
      </c>
      <c r="K128">
        <v>0.30868757987166701</v>
      </c>
      <c r="L128">
        <v>0.68643579360099705</v>
      </c>
      <c r="M128">
        <v>0.24784276036873101</v>
      </c>
      <c r="N128">
        <v>547</v>
      </c>
      <c r="R128">
        <v>2607597</v>
      </c>
      <c r="T128">
        <v>101459</v>
      </c>
    </row>
    <row r="129" spans="1:20" x14ac:dyDescent="0.3">
      <c r="A129" s="1">
        <v>45341</v>
      </c>
      <c r="B129">
        <v>80</v>
      </c>
      <c r="C129">
        <v>1777.58895647397</v>
      </c>
      <c r="D129">
        <v>3546.8755536695298</v>
      </c>
      <c r="E129">
        <v>35</v>
      </c>
      <c r="F129">
        <v>35</v>
      </c>
      <c r="K129">
        <v>0.48597946587172097</v>
      </c>
      <c r="L129">
        <v>1.5188774590923999</v>
      </c>
      <c r="M129">
        <v>0.243377179301632</v>
      </c>
      <c r="N129">
        <v>5217</v>
      </c>
      <c r="R129">
        <v>1063999</v>
      </c>
      <c r="T129">
        <v>2660462</v>
      </c>
    </row>
    <row r="130" spans="1:20" x14ac:dyDescent="0.3">
      <c r="A130" s="1">
        <v>45342</v>
      </c>
      <c r="B130">
        <v>92</v>
      </c>
      <c r="C130">
        <v>1830.4644448112699</v>
      </c>
      <c r="D130">
        <v>4157.75184862078</v>
      </c>
      <c r="E130">
        <v>33</v>
      </c>
      <c r="F130">
        <v>33</v>
      </c>
      <c r="K130">
        <v>0.52356778185048902</v>
      </c>
      <c r="L130">
        <v>1.7599311477944</v>
      </c>
      <c r="M130">
        <v>0.25011158278656997</v>
      </c>
      <c r="N130">
        <v>6301</v>
      </c>
      <c r="R130">
        <v>962008</v>
      </c>
      <c r="T130">
        <v>3717718</v>
      </c>
    </row>
    <row r="131" spans="1:20" x14ac:dyDescent="0.3">
      <c r="A131" s="1">
        <v>45343</v>
      </c>
      <c r="B131">
        <v>77</v>
      </c>
      <c r="C131">
        <v>1821.04749418191</v>
      </c>
      <c r="D131">
        <v>3643.5507507288098</v>
      </c>
      <c r="E131">
        <v>30</v>
      </c>
      <c r="F131">
        <v>30</v>
      </c>
      <c r="K131">
        <v>0.48693787972512798</v>
      </c>
      <c r="L131">
        <v>1.66494082489049</v>
      </c>
      <c r="M131">
        <v>0.271860416072358</v>
      </c>
      <c r="N131">
        <v>5594</v>
      </c>
      <c r="R131">
        <v>865846</v>
      </c>
      <c r="T131">
        <v>3651721</v>
      </c>
    </row>
    <row r="132" spans="1:20" x14ac:dyDescent="0.3">
      <c r="A132" s="1">
        <v>45344</v>
      </c>
      <c r="B132">
        <v>83</v>
      </c>
      <c r="C132">
        <v>1813.36849612637</v>
      </c>
      <c r="D132">
        <v>3986.4083383351199</v>
      </c>
      <c r="E132">
        <v>40</v>
      </c>
      <c r="F132">
        <v>40</v>
      </c>
      <c r="K132">
        <v>0.57591954631101505</v>
      </c>
      <c r="L132">
        <v>1.79058928997498</v>
      </c>
      <c r="M132">
        <v>0.247140765283997</v>
      </c>
      <c r="N132">
        <v>5861</v>
      </c>
      <c r="R132">
        <v>1055036</v>
      </c>
      <c r="T132">
        <v>3311643</v>
      </c>
    </row>
    <row r="133" spans="1:20" x14ac:dyDescent="0.3">
      <c r="A133" s="1">
        <v>45345</v>
      </c>
      <c r="B133">
        <v>76</v>
      </c>
      <c r="C133">
        <v>1737.7124411643099</v>
      </c>
      <c r="D133">
        <v>3367.7655268671701</v>
      </c>
      <c r="E133">
        <v>25</v>
      </c>
      <c r="F133">
        <v>25</v>
      </c>
      <c r="K133">
        <v>0.50117989904117199</v>
      </c>
      <c r="L133">
        <v>1.4620178297684101</v>
      </c>
      <c r="M133">
        <v>0.25011158278656997</v>
      </c>
      <c r="N133">
        <v>5110</v>
      </c>
      <c r="R133">
        <v>653858</v>
      </c>
      <c r="T133">
        <v>2384145</v>
      </c>
    </row>
    <row r="134" spans="1:20" x14ac:dyDescent="0.3">
      <c r="A134" s="1">
        <v>45346</v>
      </c>
      <c r="B134">
        <v>43</v>
      </c>
      <c r="C134">
        <v>1682.2509384027701</v>
      </c>
      <c r="D134">
        <v>794.70367960512306</v>
      </c>
      <c r="E134">
        <v>23</v>
      </c>
      <c r="F134">
        <v>23</v>
      </c>
      <c r="K134">
        <v>0.65636583858429598</v>
      </c>
      <c r="L134">
        <v>1.3967134847270399</v>
      </c>
      <c r="M134">
        <v>0.27274490262385698</v>
      </c>
      <c r="N134">
        <v>1370</v>
      </c>
      <c r="R134">
        <v>1490819</v>
      </c>
      <c r="T134">
        <v>494293</v>
      </c>
    </row>
    <row r="135" spans="1:20" x14ac:dyDescent="0.3">
      <c r="A135" s="1">
        <v>45347</v>
      </c>
      <c r="B135">
        <v>87</v>
      </c>
      <c r="C135">
        <v>1642.53867013842</v>
      </c>
      <c r="D135">
        <v>4715.2592824419899</v>
      </c>
      <c r="E135">
        <v>28</v>
      </c>
      <c r="F135">
        <v>28</v>
      </c>
      <c r="K135">
        <v>0.52114458948099296</v>
      </c>
      <c r="L135">
        <v>1.6357703685457201</v>
      </c>
      <c r="M135">
        <v>0.25011158278656997</v>
      </c>
      <c r="N135">
        <v>7137</v>
      </c>
      <c r="T135">
        <v>1376962</v>
      </c>
    </row>
    <row r="136" spans="1:20" x14ac:dyDescent="0.3">
      <c r="A136" s="1">
        <v>45348</v>
      </c>
      <c r="B136">
        <v>135</v>
      </c>
      <c r="C136">
        <v>2000.74072890292</v>
      </c>
      <c r="D136">
        <v>4334.6117963370698</v>
      </c>
      <c r="E136">
        <v>64</v>
      </c>
      <c r="F136">
        <v>64</v>
      </c>
      <c r="K136">
        <v>0.65900709346083097</v>
      </c>
      <c r="L136">
        <v>1.76135505414393</v>
      </c>
      <c r="M136">
        <v>0.242245128830788</v>
      </c>
      <c r="N136">
        <v>6458</v>
      </c>
      <c r="R136">
        <v>3068244</v>
      </c>
      <c r="T136">
        <v>4517969</v>
      </c>
    </row>
    <row r="137" spans="1:20" x14ac:dyDescent="0.3">
      <c r="A137" s="1">
        <v>45349</v>
      </c>
      <c r="B137">
        <v>81</v>
      </c>
      <c r="C137">
        <v>1795.4919188444601</v>
      </c>
      <c r="D137">
        <v>3733.3126378074098</v>
      </c>
      <c r="E137">
        <v>40</v>
      </c>
      <c r="F137">
        <v>40</v>
      </c>
      <c r="K137">
        <v>0.58436315366479696</v>
      </c>
      <c r="L137">
        <v>1.8096542232223001</v>
      </c>
      <c r="M137">
        <v>0.25011158278656997</v>
      </c>
      <c r="N137">
        <v>5566</v>
      </c>
      <c r="R137">
        <v>1209407</v>
      </c>
      <c r="T137">
        <v>2812875</v>
      </c>
    </row>
    <row r="138" spans="1:20" x14ac:dyDescent="0.3">
      <c r="A138" s="1">
        <v>45350</v>
      </c>
      <c r="B138">
        <v>70</v>
      </c>
      <c r="C138">
        <v>1794.97946694901</v>
      </c>
      <c r="D138">
        <v>3508.46935490129</v>
      </c>
      <c r="E138">
        <v>14</v>
      </c>
      <c r="F138">
        <v>12</v>
      </c>
      <c r="K138">
        <v>0.62961614183097403</v>
      </c>
      <c r="L138">
        <v>2.0555003143358301</v>
      </c>
      <c r="M138">
        <v>0.25065729501174699</v>
      </c>
      <c r="N138">
        <v>5353</v>
      </c>
      <c r="T138">
        <v>4070236</v>
      </c>
    </row>
    <row r="139" spans="1:20" x14ac:dyDescent="0.3">
      <c r="A139" s="1">
        <v>45351</v>
      </c>
      <c r="B139">
        <v>148</v>
      </c>
      <c r="C139">
        <v>2042.83017950061</v>
      </c>
      <c r="D139">
        <v>5429.9243762412898</v>
      </c>
      <c r="E139">
        <v>81</v>
      </c>
      <c r="F139">
        <v>81</v>
      </c>
      <c r="K139">
        <v>0.63477747090365</v>
      </c>
      <c r="L139">
        <v>1.59464639461333</v>
      </c>
      <c r="M139">
        <v>0.25176191833524902</v>
      </c>
      <c r="N139">
        <v>8238</v>
      </c>
      <c r="R139">
        <v>3429498</v>
      </c>
      <c r="T139">
        <v>4886261</v>
      </c>
    </row>
    <row r="140" spans="1:20" x14ac:dyDescent="0.3">
      <c r="A140" s="1">
        <v>45352</v>
      </c>
      <c r="B140">
        <v>128</v>
      </c>
      <c r="C140">
        <v>1983.1058967746101</v>
      </c>
      <c r="D140">
        <v>5049.04865043482</v>
      </c>
      <c r="E140">
        <v>78</v>
      </c>
      <c r="F140">
        <v>78</v>
      </c>
      <c r="K140">
        <v>0.72267493893255497</v>
      </c>
      <c r="L140">
        <v>1.7432819094991701</v>
      </c>
      <c r="M140">
        <v>0.29360924935814697</v>
      </c>
      <c r="N140">
        <v>7234</v>
      </c>
      <c r="R140">
        <v>2856955</v>
      </c>
      <c r="T140">
        <v>4427768</v>
      </c>
    </row>
    <row r="141" spans="1:20" x14ac:dyDescent="0.3">
      <c r="A141" s="1">
        <v>45353</v>
      </c>
      <c r="B141">
        <v>149</v>
      </c>
      <c r="C141">
        <v>1950.87994852103</v>
      </c>
      <c r="D141">
        <v>5284.9240501348104</v>
      </c>
      <c r="E141">
        <v>62</v>
      </c>
      <c r="F141">
        <v>62</v>
      </c>
      <c r="K141">
        <v>0.56803426525066303</v>
      </c>
      <c r="L141">
        <v>1.79205006922183</v>
      </c>
      <c r="M141">
        <v>0.26098599942946399</v>
      </c>
      <c r="N141">
        <v>8020</v>
      </c>
      <c r="R141">
        <v>2601769</v>
      </c>
      <c r="T141">
        <v>4122879</v>
      </c>
    </row>
    <row r="142" spans="1:20" x14ac:dyDescent="0.3">
      <c r="A142" s="1">
        <v>45354</v>
      </c>
      <c r="B142">
        <v>27</v>
      </c>
      <c r="C142">
        <v>1682.0651601649299</v>
      </c>
      <c r="D142">
        <v>304.43647350567699</v>
      </c>
      <c r="E142">
        <v>21</v>
      </c>
      <c r="F142">
        <v>21</v>
      </c>
      <c r="K142">
        <v>0.58910191395587497</v>
      </c>
      <c r="L142">
        <v>1.5635745571146999</v>
      </c>
      <c r="M142">
        <v>0.25011158278656997</v>
      </c>
      <c r="N142">
        <v>725</v>
      </c>
      <c r="R142">
        <v>1330722</v>
      </c>
      <c r="T142">
        <v>662223</v>
      </c>
    </row>
    <row r="143" spans="1:20" x14ac:dyDescent="0.3">
      <c r="A143" s="1">
        <v>45355</v>
      </c>
      <c r="B143">
        <v>85</v>
      </c>
      <c r="C143">
        <v>1829.59348544779</v>
      </c>
      <c r="D143">
        <v>2959.6219780139199</v>
      </c>
      <c r="E143">
        <v>33</v>
      </c>
      <c r="F143">
        <v>33</v>
      </c>
      <c r="K143">
        <v>0.633869663968749</v>
      </c>
      <c r="L143">
        <v>1.59512739244142</v>
      </c>
      <c r="M143">
        <v>0.25011158278656997</v>
      </c>
      <c r="N143">
        <v>4503</v>
      </c>
      <c r="R143">
        <v>1664110</v>
      </c>
      <c r="T143">
        <v>2951038</v>
      </c>
    </row>
    <row r="144" spans="1:20" x14ac:dyDescent="0.3">
      <c r="A144" s="1">
        <v>45356</v>
      </c>
      <c r="B144">
        <v>69</v>
      </c>
      <c r="C144">
        <v>1777.8021583745599</v>
      </c>
      <c r="D144">
        <v>1251.34067154901</v>
      </c>
      <c r="E144">
        <v>39</v>
      </c>
      <c r="F144">
        <v>39</v>
      </c>
      <c r="K144">
        <v>0.37398433000970899</v>
      </c>
      <c r="L144">
        <v>1.47021927171339</v>
      </c>
      <c r="M144">
        <v>0.24649990951887901</v>
      </c>
      <c r="N144">
        <v>1958</v>
      </c>
      <c r="R144">
        <v>2307674</v>
      </c>
      <c r="T144">
        <v>1333882</v>
      </c>
    </row>
    <row r="145" spans="1:20" x14ac:dyDescent="0.3">
      <c r="A145" s="1">
        <v>45357</v>
      </c>
      <c r="B145">
        <v>62</v>
      </c>
      <c r="C145">
        <v>1780.0195755510899</v>
      </c>
      <c r="D145">
        <v>902.65429694029694</v>
      </c>
      <c r="E145">
        <v>50</v>
      </c>
      <c r="F145">
        <v>50</v>
      </c>
      <c r="K145">
        <v>0.61058795862958004</v>
      </c>
      <c r="L145">
        <v>1.7439898241244101</v>
      </c>
      <c r="M145">
        <v>0.28273483271525301</v>
      </c>
      <c r="N145">
        <v>1552</v>
      </c>
      <c r="R145">
        <v>2888311</v>
      </c>
      <c r="T145">
        <v>752396</v>
      </c>
    </row>
    <row r="146" spans="1:20" x14ac:dyDescent="0.3">
      <c r="A146" s="1">
        <v>45358</v>
      </c>
      <c r="B146">
        <v>74</v>
      </c>
      <c r="C146">
        <v>1777.5989177050001</v>
      </c>
      <c r="D146">
        <v>3524.25486326497</v>
      </c>
      <c r="E146">
        <v>27</v>
      </c>
      <c r="F146">
        <v>27</v>
      </c>
      <c r="K146">
        <v>0.63771116844499998</v>
      </c>
      <c r="L146">
        <v>1.65158994920492</v>
      </c>
      <c r="M146">
        <v>0.29575528962820502</v>
      </c>
      <c r="N146">
        <v>5189</v>
      </c>
      <c r="R146">
        <v>669989</v>
      </c>
      <c r="T146">
        <v>3082126</v>
      </c>
    </row>
    <row r="147" spans="1:20" x14ac:dyDescent="0.3">
      <c r="A147" s="1">
        <v>45359</v>
      </c>
      <c r="B147">
        <v>166</v>
      </c>
      <c r="C147">
        <v>2132.7958570012302</v>
      </c>
      <c r="D147">
        <v>8911.0451292308408</v>
      </c>
      <c r="E147">
        <v>100</v>
      </c>
      <c r="F147">
        <v>100</v>
      </c>
      <c r="K147">
        <v>0.62186981756871496</v>
      </c>
      <c r="L147">
        <v>1.61603654482396</v>
      </c>
      <c r="M147">
        <v>0.26719719262751901</v>
      </c>
      <c r="N147">
        <v>12841</v>
      </c>
      <c r="R147">
        <v>1717595</v>
      </c>
      <c r="T147">
        <v>8330794</v>
      </c>
    </row>
    <row r="148" spans="1:20" x14ac:dyDescent="0.3">
      <c r="A148" s="1">
        <v>45360</v>
      </c>
      <c r="C148">
        <v>1570.6791328500001</v>
      </c>
      <c r="D148">
        <v>40.452829911566901</v>
      </c>
      <c r="K148">
        <v>0.375590709615859</v>
      </c>
      <c r="L148">
        <v>0.41447684252045702</v>
      </c>
      <c r="M148">
        <v>0.33555041130243701</v>
      </c>
      <c r="N148">
        <v>167</v>
      </c>
      <c r="T148">
        <v>88389</v>
      </c>
    </row>
    <row r="149" spans="1:20" x14ac:dyDescent="0.3">
      <c r="A149" s="1">
        <v>45361</v>
      </c>
      <c r="B149">
        <v>17</v>
      </c>
      <c r="C149">
        <v>1590.87380321052</v>
      </c>
      <c r="D149">
        <v>575.54772763107496</v>
      </c>
      <c r="E149">
        <v>1</v>
      </c>
      <c r="F149">
        <v>1</v>
      </c>
      <c r="K149">
        <v>0.358644157276722</v>
      </c>
      <c r="L149">
        <v>1.3032086604397899</v>
      </c>
      <c r="M149">
        <v>0.29360924935814697</v>
      </c>
      <c r="N149">
        <v>1172</v>
      </c>
      <c r="T149">
        <v>450515</v>
      </c>
    </row>
    <row r="150" spans="1:20" x14ac:dyDescent="0.3">
      <c r="A150" s="1">
        <v>45362</v>
      </c>
      <c r="B150">
        <v>137</v>
      </c>
      <c r="C150">
        <v>1968.17897839688</v>
      </c>
      <c r="D150">
        <v>6457.5341438557398</v>
      </c>
      <c r="E150">
        <v>33</v>
      </c>
      <c r="F150">
        <v>33</v>
      </c>
      <c r="K150">
        <v>0.59272366112666897</v>
      </c>
      <c r="L150">
        <v>1.6473765598507399</v>
      </c>
      <c r="M150">
        <v>0.25011158278656997</v>
      </c>
      <c r="N150">
        <v>9730</v>
      </c>
      <c r="R150">
        <v>778317</v>
      </c>
      <c r="T150">
        <v>6383693</v>
      </c>
    </row>
    <row r="151" spans="1:20" x14ac:dyDescent="0.3">
      <c r="A151" s="1">
        <v>45363</v>
      </c>
      <c r="B151">
        <v>56</v>
      </c>
      <c r="C151">
        <v>1728.9716821884001</v>
      </c>
      <c r="D151">
        <v>2022.7437783681501</v>
      </c>
      <c r="E151">
        <v>18</v>
      </c>
      <c r="F151">
        <v>18</v>
      </c>
      <c r="K151">
        <v>0.75782672668447604</v>
      </c>
      <c r="L151">
        <v>1.5682612110904</v>
      </c>
      <c r="M151">
        <v>0.315358082643936</v>
      </c>
      <c r="N151">
        <v>3214</v>
      </c>
      <c r="R151">
        <v>855808</v>
      </c>
      <c r="T151">
        <v>2011374</v>
      </c>
    </row>
    <row r="152" spans="1:20" x14ac:dyDescent="0.3">
      <c r="A152" s="1">
        <v>45364</v>
      </c>
      <c r="B152">
        <v>82</v>
      </c>
      <c r="C152">
        <v>1759.7279150136601</v>
      </c>
      <c r="D152">
        <v>3656.72751492835</v>
      </c>
      <c r="E152">
        <v>24</v>
      </c>
      <c r="F152">
        <v>24</v>
      </c>
      <c r="K152">
        <v>0.61009502633444801</v>
      </c>
      <c r="L152">
        <v>1.8420345372073701</v>
      </c>
      <c r="M152">
        <v>0.27385344317288302</v>
      </c>
      <c r="N152">
        <v>5485</v>
      </c>
      <c r="R152">
        <v>771151</v>
      </c>
      <c r="T152">
        <v>2653451</v>
      </c>
    </row>
    <row r="153" spans="1:20" x14ac:dyDescent="0.3">
      <c r="A153" s="1">
        <v>45365</v>
      </c>
      <c r="B153">
        <v>63</v>
      </c>
      <c r="C153">
        <v>1759.5657827463499</v>
      </c>
      <c r="D153">
        <v>1491.5478499915</v>
      </c>
      <c r="E153">
        <v>35</v>
      </c>
      <c r="F153">
        <v>35</v>
      </c>
      <c r="K153">
        <v>0.55068128431422303</v>
      </c>
      <c r="L153">
        <v>1.4331658724507499</v>
      </c>
      <c r="M153">
        <v>0.26098599942946399</v>
      </c>
      <c r="N153">
        <v>2263</v>
      </c>
      <c r="R153">
        <v>1932369</v>
      </c>
      <c r="T153">
        <v>1408347</v>
      </c>
    </row>
    <row r="154" spans="1:20" x14ac:dyDescent="0.3">
      <c r="A154" s="1">
        <v>45366</v>
      </c>
      <c r="C154">
        <v>1565.75</v>
      </c>
      <c r="N154">
        <v>48</v>
      </c>
    </row>
    <row r="155" spans="1:20" x14ac:dyDescent="0.3">
      <c r="A155" s="1">
        <v>45367</v>
      </c>
      <c r="B155">
        <v>131</v>
      </c>
      <c r="C155">
        <v>1987.5666719933499</v>
      </c>
      <c r="D155">
        <v>6259.4946061375804</v>
      </c>
      <c r="E155">
        <v>69</v>
      </c>
      <c r="F155">
        <v>69</v>
      </c>
      <c r="K155">
        <v>0.75092242022712496</v>
      </c>
      <c r="L155">
        <v>1.6170565803788799</v>
      </c>
      <c r="M155">
        <v>0.256866709120954</v>
      </c>
      <c r="N155">
        <v>9146</v>
      </c>
      <c r="R155">
        <v>1622908</v>
      </c>
      <c r="T155">
        <v>5827861</v>
      </c>
    </row>
    <row r="156" spans="1:20" x14ac:dyDescent="0.3">
      <c r="A156" s="1">
        <v>45368</v>
      </c>
      <c r="B156">
        <v>109</v>
      </c>
      <c r="C156">
        <v>1813.8673221521501</v>
      </c>
      <c r="D156">
        <v>4876.6013490237201</v>
      </c>
      <c r="E156">
        <v>64</v>
      </c>
      <c r="F156">
        <v>64</v>
      </c>
      <c r="K156">
        <v>0.49884281417880999</v>
      </c>
      <c r="L156">
        <v>1.8406209720736799</v>
      </c>
      <c r="M156">
        <v>0.25011158278656997</v>
      </c>
      <c r="N156">
        <v>7221</v>
      </c>
      <c r="R156">
        <v>1393792</v>
      </c>
      <c r="T156">
        <v>2958209</v>
      </c>
    </row>
    <row r="157" spans="1:20" x14ac:dyDescent="0.3">
      <c r="A157" s="1">
        <v>45369</v>
      </c>
      <c r="B157">
        <v>70</v>
      </c>
      <c r="C157">
        <v>1829.9042118231</v>
      </c>
      <c r="D157">
        <v>3765.0498611333401</v>
      </c>
      <c r="E157">
        <v>37</v>
      </c>
      <c r="F157">
        <v>37</v>
      </c>
      <c r="K157">
        <v>0.49206216206139503</v>
      </c>
      <c r="L157">
        <v>1.52633407852519</v>
      </c>
      <c r="M157">
        <v>0.25011158278656997</v>
      </c>
      <c r="N157">
        <v>5615</v>
      </c>
      <c r="R157">
        <v>591380</v>
      </c>
      <c r="T157">
        <v>4104147</v>
      </c>
    </row>
    <row r="158" spans="1:20" x14ac:dyDescent="0.3">
      <c r="A158" s="1">
        <v>45370</v>
      </c>
      <c r="B158">
        <v>74</v>
      </c>
      <c r="C158">
        <v>1823.9836912717101</v>
      </c>
      <c r="D158">
        <v>3216.2762954393002</v>
      </c>
      <c r="E158">
        <v>44</v>
      </c>
      <c r="F158">
        <v>44</v>
      </c>
      <c r="K158">
        <v>0.504010240803756</v>
      </c>
      <c r="L158">
        <v>1.8836183849171799</v>
      </c>
      <c r="M158">
        <v>0.25011158278656997</v>
      </c>
      <c r="N158">
        <v>4634</v>
      </c>
      <c r="R158">
        <v>1513916</v>
      </c>
      <c r="T158">
        <v>3011114</v>
      </c>
    </row>
    <row r="159" spans="1:20" x14ac:dyDescent="0.3">
      <c r="A159" s="1">
        <v>45371</v>
      </c>
      <c r="B159">
        <v>36</v>
      </c>
      <c r="C159">
        <v>1678.1587847011599</v>
      </c>
      <c r="D159">
        <v>450.22603489849399</v>
      </c>
      <c r="E159">
        <v>24</v>
      </c>
      <c r="F159">
        <v>24</v>
      </c>
      <c r="K159">
        <v>0.43591328233084498</v>
      </c>
      <c r="L159">
        <v>1.2117645495079901</v>
      </c>
      <c r="M159">
        <v>0.27910747799510999</v>
      </c>
      <c r="N159">
        <v>776</v>
      </c>
      <c r="R159">
        <v>1596201</v>
      </c>
      <c r="T159">
        <v>308183</v>
      </c>
    </row>
    <row r="160" spans="1:20" x14ac:dyDescent="0.3">
      <c r="A160" s="1">
        <v>45372</v>
      </c>
      <c r="B160">
        <v>70</v>
      </c>
      <c r="C160">
        <v>1794.0496118714</v>
      </c>
      <c r="D160">
        <v>3670.4053115537699</v>
      </c>
      <c r="E160">
        <v>22</v>
      </c>
      <c r="F160">
        <v>22</v>
      </c>
      <c r="K160">
        <v>0.37205597246988198</v>
      </c>
      <c r="L160">
        <v>1.4558545513116301</v>
      </c>
      <c r="M160">
        <v>0.25011158278656997</v>
      </c>
      <c r="N160">
        <v>5483</v>
      </c>
      <c r="T160">
        <v>4093827</v>
      </c>
    </row>
    <row r="161" spans="1:21" x14ac:dyDescent="0.3">
      <c r="A161" s="1">
        <v>45373</v>
      </c>
      <c r="B161">
        <v>111</v>
      </c>
      <c r="C161">
        <v>1846.25297878735</v>
      </c>
      <c r="D161">
        <v>5855.8187567600298</v>
      </c>
      <c r="E161">
        <v>25</v>
      </c>
      <c r="F161">
        <v>25</v>
      </c>
      <c r="K161">
        <v>0.56424506418332698</v>
      </c>
      <c r="L161">
        <v>1.60629718994143</v>
      </c>
      <c r="M161">
        <v>0.25011158278656997</v>
      </c>
      <c r="N161">
        <v>8958</v>
      </c>
      <c r="T161">
        <v>4797665</v>
      </c>
      <c r="U161">
        <v>101422</v>
      </c>
    </row>
    <row r="162" spans="1:21" x14ac:dyDescent="0.3">
      <c r="A162" s="1">
        <v>45374</v>
      </c>
      <c r="B162">
        <v>121</v>
      </c>
      <c r="C162">
        <v>1889.0073175838099</v>
      </c>
      <c r="D162">
        <v>5126.3332078742997</v>
      </c>
      <c r="E162">
        <v>19</v>
      </c>
      <c r="F162">
        <v>19</v>
      </c>
      <c r="K162">
        <v>0.45863054936922498</v>
      </c>
      <c r="L162">
        <v>1.47382080026692</v>
      </c>
      <c r="M162">
        <v>0.25011158278656997</v>
      </c>
      <c r="N162">
        <v>7938</v>
      </c>
      <c r="T162">
        <v>5796593</v>
      </c>
    </row>
    <row r="163" spans="1:21" x14ac:dyDescent="0.3">
      <c r="A163" s="1">
        <v>45375</v>
      </c>
      <c r="B163">
        <v>139</v>
      </c>
      <c r="C163">
        <v>1807.57074061556</v>
      </c>
      <c r="D163">
        <v>4734.4127554066699</v>
      </c>
      <c r="E163">
        <v>27</v>
      </c>
      <c r="F163">
        <v>27</v>
      </c>
      <c r="K163">
        <v>0.62968417998110104</v>
      </c>
      <c r="L163">
        <v>2.0005791572073002</v>
      </c>
      <c r="M163">
        <v>0.25039043860663202</v>
      </c>
      <c r="N163">
        <v>7426</v>
      </c>
      <c r="R163">
        <v>1180589</v>
      </c>
      <c r="T163">
        <v>3060750</v>
      </c>
    </row>
    <row r="164" spans="1:21" x14ac:dyDescent="0.3">
      <c r="A164" s="1">
        <v>45376</v>
      </c>
      <c r="B164">
        <v>91</v>
      </c>
      <c r="C164">
        <v>1757.4230907799799</v>
      </c>
      <c r="D164">
        <v>4315.6812755519604</v>
      </c>
      <c r="E164">
        <v>22</v>
      </c>
      <c r="F164">
        <v>22</v>
      </c>
      <c r="K164">
        <v>0.39279579683919402</v>
      </c>
      <c r="L164">
        <v>1.52470437484521</v>
      </c>
      <c r="M164">
        <v>0.25011158278656997</v>
      </c>
      <c r="N164">
        <v>6658</v>
      </c>
      <c r="T164">
        <v>3437049</v>
      </c>
    </row>
    <row r="165" spans="1:21" x14ac:dyDescent="0.3">
      <c r="A165" s="1">
        <v>45377</v>
      </c>
      <c r="B165">
        <v>112</v>
      </c>
      <c r="C165">
        <v>1672.8812301452299</v>
      </c>
      <c r="D165">
        <v>4404.27676678014</v>
      </c>
      <c r="E165">
        <v>2</v>
      </c>
      <c r="F165">
        <v>2</v>
      </c>
      <c r="K165">
        <v>0.45518855368781402</v>
      </c>
      <c r="L165">
        <v>1.4374392752776499</v>
      </c>
      <c r="M165">
        <v>0.25011158278656997</v>
      </c>
      <c r="N165">
        <v>7122</v>
      </c>
      <c r="T165">
        <v>1730186</v>
      </c>
      <c r="U165">
        <v>83347</v>
      </c>
    </row>
    <row r="166" spans="1:21" x14ac:dyDescent="0.3">
      <c r="A166" s="1">
        <v>45378</v>
      </c>
      <c r="B166">
        <v>64</v>
      </c>
      <c r="C166">
        <v>1715.1011619831099</v>
      </c>
      <c r="D166">
        <v>2679.8083238980998</v>
      </c>
      <c r="E166">
        <v>6</v>
      </c>
      <c r="F166">
        <v>6</v>
      </c>
      <c r="K166">
        <v>0.70221254133041</v>
      </c>
      <c r="L166">
        <v>1.52686302191458</v>
      </c>
      <c r="M166">
        <v>0.26098599942946399</v>
      </c>
      <c r="N166">
        <v>4163</v>
      </c>
      <c r="T166">
        <v>2678139</v>
      </c>
    </row>
    <row r="167" spans="1:21" x14ac:dyDescent="0.3">
      <c r="A167" s="1">
        <v>45379</v>
      </c>
      <c r="B167">
        <v>104</v>
      </c>
      <c r="C167">
        <v>1872.6756424647899</v>
      </c>
      <c r="D167">
        <v>4798.4851120466901</v>
      </c>
      <c r="E167">
        <v>24</v>
      </c>
      <c r="F167">
        <v>24</v>
      </c>
      <c r="K167">
        <v>0.50378486269853595</v>
      </c>
      <c r="L167">
        <v>1.4138008911842499</v>
      </c>
      <c r="M167">
        <v>0.271860416072358</v>
      </c>
      <c r="N167">
        <v>7275</v>
      </c>
      <c r="T167">
        <v>5503738</v>
      </c>
    </row>
    <row r="168" spans="1:21" x14ac:dyDescent="0.3">
      <c r="A168" s="1">
        <v>45380</v>
      </c>
      <c r="B168">
        <v>29</v>
      </c>
      <c r="C168">
        <v>1612.4930448503301</v>
      </c>
      <c r="D168">
        <v>1319.82978762836</v>
      </c>
      <c r="K168">
        <v>0.326405415251249</v>
      </c>
      <c r="L168">
        <v>1.0301217159234299</v>
      </c>
      <c r="M168">
        <v>0.25011158278656997</v>
      </c>
      <c r="N168">
        <v>2272</v>
      </c>
      <c r="T168">
        <v>838187</v>
      </c>
    </row>
    <row r="169" spans="1:21" x14ac:dyDescent="0.3">
      <c r="A169" s="1">
        <v>45381</v>
      </c>
      <c r="B169">
        <v>143</v>
      </c>
      <c r="C169">
        <v>2022.4388479008101</v>
      </c>
      <c r="D169">
        <v>7981.6366684866898</v>
      </c>
      <c r="E169">
        <v>45</v>
      </c>
      <c r="F169">
        <v>45</v>
      </c>
      <c r="K169">
        <v>0.45259431454134202</v>
      </c>
      <c r="L169">
        <v>1.4903987264051799</v>
      </c>
      <c r="M169">
        <v>0.258741492548903</v>
      </c>
      <c r="N169">
        <v>12007</v>
      </c>
      <c r="T169">
        <v>8189265</v>
      </c>
    </row>
    <row r="170" spans="1:21" x14ac:dyDescent="0.3">
      <c r="A170" s="1">
        <v>45382</v>
      </c>
      <c r="B170">
        <v>43</v>
      </c>
      <c r="C170">
        <v>1660.3552234143499</v>
      </c>
      <c r="D170">
        <v>2068.9095739945401</v>
      </c>
      <c r="E170">
        <v>8</v>
      </c>
      <c r="F170">
        <v>8</v>
      </c>
      <c r="K170">
        <v>0.39544008479742898</v>
      </c>
      <c r="L170">
        <v>1.7290868586117001</v>
      </c>
      <c r="M170">
        <v>0.26970504912142801</v>
      </c>
      <c r="N170">
        <v>3070</v>
      </c>
      <c r="T170">
        <v>1696444</v>
      </c>
    </row>
    <row r="171" spans="1:21" x14ac:dyDescent="0.3">
      <c r="A171" s="1">
        <v>45383</v>
      </c>
      <c r="B171">
        <v>163</v>
      </c>
      <c r="C171">
        <v>2035.1266850065299</v>
      </c>
      <c r="D171">
        <v>5892.18855232643</v>
      </c>
      <c r="E171">
        <v>67</v>
      </c>
      <c r="F171">
        <v>67</v>
      </c>
      <c r="K171">
        <v>0.54556009669096905</v>
      </c>
      <c r="L171">
        <v>1.76059628710148</v>
      </c>
      <c r="M171">
        <v>0.25011158278656997</v>
      </c>
      <c r="N171">
        <v>8931</v>
      </c>
      <c r="R171">
        <v>2734121</v>
      </c>
      <c r="T171">
        <v>5251945</v>
      </c>
      <c r="U171">
        <v>101582</v>
      </c>
    </row>
    <row r="172" spans="1:21" x14ac:dyDescent="0.3">
      <c r="A172" s="1">
        <v>45384</v>
      </c>
      <c r="B172">
        <v>98</v>
      </c>
      <c r="C172">
        <v>1953.53509749058</v>
      </c>
      <c r="D172">
        <v>3766.55132551212</v>
      </c>
      <c r="E172">
        <v>35</v>
      </c>
      <c r="F172">
        <v>35</v>
      </c>
      <c r="K172">
        <v>0.48085508559906198</v>
      </c>
      <c r="L172">
        <v>1.5195432577674499</v>
      </c>
      <c r="M172">
        <v>0.271860416072358</v>
      </c>
      <c r="N172">
        <v>5958</v>
      </c>
      <c r="R172">
        <v>1429863</v>
      </c>
      <c r="T172">
        <v>5424118</v>
      </c>
    </row>
    <row r="173" spans="1:21" x14ac:dyDescent="0.3">
      <c r="A173" s="1">
        <v>45385</v>
      </c>
      <c r="B173">
        <v>100</v>
      </c>
      <c r="C173">
        <v>1947.78442956653</v>
      </c>
      <c r="D173">
        <v>4259.5833151839797</v>
      </c>
      <c r="E173">
        <v>49</v>
      </c>
      <c r="F173">
        <v>49</v>
      </c>
      <c r="K173">
        <v>0.72238850809571797</v>
      </c>
      <c r="L173">
        <v>1.6355298289058799</v>
      </c>
      <c r="M173">
        <v>0.25011158278656997</v>
      </c>
      <c r="N173">
        <v>6294</v>
      </c>
      <c r="R173">
        <v>1667426</v>
      </c>
      <c r="T173">
        <v>5066869</v>
      </c>
    </row>
    <row r="174" spans="1:21" x14ac:dyDescent="0.3">
      <c r="A174" s="1">
        <v>45386</v>
      </c>
      <c r="B174">
        <v>88</v>
      </c>
      <c r="C174">
        <v>1832.37786353008</v>
      </c>
      <c r="D174">
        <v>2709.4588354543198</v>
      </c>
      <c r="E174">
        <v>41</v>
      </c>
      <c r="F174">
        <v>41</v>
      </c>
      <c r="K174">
        <v>0.75913871840907199</v>
      </c>
      <c r="L174">
        <v>1.7193794199366601</v>
      </c>
      <c r="M174">
        <v>0.25011158278656997</v>
      </c>
      <c r="N174">
        <v>4065</v>
      </c>
      <c r="R174">
        <v>2205006</v>
      </c>
      <c r="T174">
        <v>2419700</v>
      </c>
    </row>
    <row r="175" spans="1:21" x14ac:dyDescent="0.3">
      <c r="A175" s="1">
        <v>45387</v>
      </c>
      <c r="B175">
        <v>140</v>
      </c>
      <c r="C175">
        <v>2019.3594531026899</v>
      </c>
      <c r="D175">
        <v>7197.1960725742902</v>
      </c>
      <c r="E175">
        <v>79</v>
      </c>
      <c r="F175">
        <v>79</v>
      </c>
      <c r="K175">
        <v>0.83141630063048999</v>
      </c>
      <c r="L175">
        <v>2.2357109077817698</v>
      </c>
      <c r="M175">
        <v>0.260047105367822</v>
      </c>
      <c r="N175">
        <v>10444</v>
      </c>
      <c r="R175">
        <v>1794776</v>
      </c>
      <c r="T175">
        <v>6214111</v>
      </c>
    </row>
    <row r="176" spans="1:21" x14ac:dyDescent="0.3">
      <c r="A176" s="1">
        <v>45388</v>
      </c>
      <c r="B176">
        <v>113</v>
      </c>
      <c r="C176">
        <v>1975.46533615044</v>
      </c>
      <c r="D176">
        <v>4396.5424257284503</v>
      </c>
      <c r="E176">
        <v>58</v>
      </c>
      <c r="F176">
        <v>58</v>
      </c>
      <c r="K176">
        <v>0.71983134870399701</v>
      </c>
      <c r="L176">
        <v>1.55200871195373</v>
      </c>
      <c r="M176">
        <v>0.25011158278656997</v>
      </c>
      <c r="N176">
        <v>6581</v>
      </c>
      <c r="R176">
        <v>2106133</v>
      </c>
      <c r="T176">
        <v>5093939</v>
      </c>
    </row>
    <row r="177" spans="1:21" x14ac:dyDescent="0.3">
      <c r="A177" s="1">
        <v>45389</v>
      </c>
      <c r="B177">
        <v>90</v>
      </c>
      <c r="C177">
        <v>1799.88642160218</v>
      </c>
      <c r="D177">
        <v>3549.09755266402</v>
      </c>
      <c r="E177">
        <v>29</v>
      </c>
      <c r="F177">
        <v>29</v>
      </c>
      <c r="K177">
        <v>0.52494850896075296</v>
      </c>
      <c r="L177">
        <v>1.60652276665958</v>
      </c>
      <c r="M177">
        <v>0.25011158278656997</v>
      </c>
      <c r="N177">
        <v>5713</v>
      </c>
      <c r="R177">
        <v>1189845</v>
      </c>
      <c r="T177">
        <v>2925674</v>
      </c>
    </row>
    <row r="178" spans="1:21" x14ac:dyDescent="0.3">
      <c r="A178" s="1">
        <v>45390</v>
      </c>
      <c r="B178">
        <v>97</v>
      </c>
      <c r="C178">
        <v>1836.4245200937801</v>
      </c>
      <c r="D178">
        <v>4513.3642328568603</v>
      </c>
      <c r="E178">
        <v>39</v>
      </c>
      <c r="F178">
        <v>39</v>
      </c>
      <c r="K178">
        <v>0.44446678997703098</v>
      </c>
      <c r="L178">
        <v>1.55944042341571</v>
      </c>
      <c r="M178">
        <v>0.25011158278656997</v>
      </c>
      <c r="N178">
        <v>6834</v>
      </c>
      <c r="R178">
        <v>998897</v>
      </c>
      <c r="T178">
        <v>3784936</v>
      </c>
    </row>
    <row r="179" spans="1:21" x14ac:dyDescent="0.3">
      <c r="A179" s="1">
        <v>45391</v>
      </c>
      <c r="B179">
        <v>184</v>
      </c>
      <c r="C179">
        <v>2128.5361014831701</v>
      </c>
      <c r="D179">
        <v>9809.2024040259803</v>
      </c>
      <c r="E179">
        <v>78</v>
      </c>
      <c r="F179">
        <v>78</v>
      </c>
      <c r="K179">
        <v>0.65832720622737995</v>
      </c>
      <c r="L179">
        <v>2.0092536389824001</v>
      </c>
      <c r="M179">
        <v>0.25011158278656997</v>
      </c>
      <c r="N179">
        <v>14103</v>
      </c>
      <c r="R179">
        <v>975911</v>
      </c>
      <c r="T179">
        <v>9047814</v>
      </c>
    </row>
    <row r="180" spans="1:21" x14ac:dyDescent="0.3">
      <c r="A180" s="1">
        <v>45392</v>
      </c>
      <c r="B180">
        <v>142</v>
      </c>
      <c r="C180">
        <v>1950.7333828309399</v>
      </c>
      <c r="D180">
        <v>6447.5038072375601</v>
      </c>
      <c r="E180">
        <v>28</v>
      </c>
      <c r="F180">
        <v>28</v>
      </c>
      <c r="K180">
        <v>0.51585902563916597</v>
      </c>
      <c r="L180">
        <v>1.8371026098894101</v>
      </c>
      <c r="M180">
        <v>0.24885201843049301</v>
      </c>
      <c r="N180">
        <v>9634</v>
      </c>
      <c r="T180">
        <v>6903453</v>
      </c>
    </row>
    <row r="181" spans="1:21" x14ac:dyDescent="0.3">
      <c r="A181" s="1">
        <v>45393</v>
      </c>
      <c r="B181">
        <v>112</v>
      </c>
      <c r="C181">
        <v>1730.26671297441</v>
      </c>
      <c r="D181">
        <v>5949.0666398819503</v>
      </c>
      <c r="E181">
        <v>36</v>
      </c>
      <c r="F181">
        <v>36</v>
      </c>
      <c r="K181">
        <v>0.66832681063363897</v>
      </c>
      <c r="L181">
        <v>1.5917025545377901</v>
      </c>
      <c r="M181">
        <v>0.26942355876926999</v>
      </c>
      <c r="N181">
        <v>8788</v>
      </c>
      <c r="T181">
        <v>2950084</v>
      </c>
    </row>
    <row r="182" spans="1:21" x14ac:dyDescent="0.3">
      <c r="A182" s="1">
        <v>45394</v>
      </c>
      <c r="B182">
        <v>164</v>
      </c>
      <c r="C182">
        <v>1817.84051746154</v>
      </c>
      <c r="D182">
        <v>6844.3681986048095</v>
      </c>
      <c r="E182">
        <v>50</v>
      </c>
      <c r="F182">
        <v>50</v>
      </c>
      <c r="K182">
        <v>0.48674466760232399</v>
      </c>
      <c r="L182">
        <v>1.7230778069608299</v>
      </c>
      <c r="M182">
        <v>0.30448366600104099</v>
      </c>
      <c r="N182">
        <v>10254</v>
      </c>
      <c r="R182">
        <v>1098409</v>
      </c>
      <c r="T182">
        <v>3345437</v>
      </c>
    </row>
    <row r="183" spans="1:21" x14ac:dyDescent="0.3">
      <c r="A183" s="1">
        <v>45395</v>
      </c>
      <c r="B183">
        <v>182</v>
      </c>
      <c r="C183">
        <v>1844.10065600705</v>
      </c>
      <c r="D183">
        <v>6916.3262082812798</v>
      </c>
      <c r="E183">
        <v>39</v>
      </c>
      <c r="F183">
        <v>39</v>
      </c>
      <c r="K183">
        <v>0.45570301048442402</v>
      </c>
      <c r="L183">
        <v>1.5145058658783801</v>
      </c>
      <c r="M183">
        <v>0.25011158278656997</v>
      </c>
      <c r="N183">
        <v>10460</v>
      </c>
      <c r="R183">
        <v>1058574</v>
      </c>
      <c r="T183">
        <v>3858940</v>
      </c>
    </row>
    <row r="184" spans="1:21" x14ac:dyDescent="0.3">
      <c r="A184" s="1">
        <v>45396</v>
      </c>
      <c r="B184">
        <v>191</v>
      </c>
      <c r="C184">
        <v>2040.9425625875299</v>
      </c>
      <c r="D184">
        <v>6829.9714782052297</v>
      </c>
      <c r="E184">
        <v>52</v>
      </c>
      <c r="F184">
        <v>51</v>
      </c>
      <c r="K184">
        <v>0.54782295519271496</v>
      </c>
      <c r="L184">
        <v>1.9649195744654799</v>
      </c>
      <c r="M184">
        <v>0.25011158278656997</v>
      </c>
      <c r="N184">
        <v>10446</v>
      </c>
      <c r="R184">
        <v>2191881</v>
      </c>
      <c r="T184">
        <v>6176340</v>
      </c>
    </row>
    <row r="185" spans="1:21" x14ac:dyDescent="0.3">
      <c r="A185" s="1">
        <v>45397</v>
      </c>
      <c r="B185">
        <v>189</v>
      </c>
      <c r="C185">
        <v>1940.27091678484</v>
      </c>
      <c r="D185">
        <v>8136.7541955991201</v>
      </c>
      <c r="E185">
        <v>23</v>
      </c>
      <c r="F185">
        <v>23</v>
      </c>
      <c r="K185">
        <v>0.481784309845596</v>
      </c>
      <c r="L185">
        <v>1.8349707775834301</v>
      </c>
      <c r="M185">
        <v>0.25011158278656997</v>
      </c>
      <c r="N185">
        <v>12373</v>
      </c>
      <c r="T185">
        <v>6715845</v>
      </c>
    </row>
    <row r="186" spans="1:21" x14ac:dyDescent="0.3">
      <c r="A186" s="1">
        <v>45398</v>
      </c>
      <c r="B186">
        <v>365</v>
      </c>
      <c r="C186">
        <v>2443.7294607139802</v>
      </c>
      <c r="D186">
        <v>16245.395246894201</v>
      </c>
      <c r="E186">
        <v>76</v>
      </c>
      <c r="F186">
        <v>75</v>
      </c>
      <c r="K186">
        <v>0.575144193429724</v>
      </c>
      <c r="L186">
        <v>1.76518949642601</v>
      </c>
      <c r="M186">
        <v>0.25011158278656997</v>
      </c>
      <c r="N186">
        <v>24575</v>
      </c>
      <c r="R186">
        <v>727094</v>
      </c>
      <c r="T186">
        <v>14965979</v>
      </c>
    </row>
    <row r="187" spans="1:21" x14ac:dyDescent="0.3">
      <c r="A187" s="1">
        <v>45399</v>
      </c>
      <c r="B187">
        <v>317</v>
      </c>
      <c r="C187">
        <v>2474.3430017455298</v>
      </c>
      <c r="D187">
        <v>15011.596932539</v>
      </c>
      <c r="E187">
        <v>116</v>
      </c>
      <c r="F187">
        <v>113</v>
      </c>
      <c r="K187">
        <v>0.65635564302087002</v>
      </c>
      <c r="L187">
        <v>1.9072488743132301</v>
      </c>
      <c r="M187">
        <v>0.247287269395779</v>
      </c>
      <c r="N187">
        <v>22429</v>
      </c>
      <c r="R187">
        <v>2835632</v>
      </c>
      <c r="T187">
        <v>13068382</v>
      </c>
      <c r="U187">
        <v>83391</v>
      </c>
    </row>
    <row r="188" spans="1:21" x14ac:dyDescent="0.3">
      <c r="A188" s="1">
        <v>45400</v>
      </c>
      <c r="B188">
        <v>357</v>
      </c>
      <c r="C188">
        <v>2411.8676630059399</v>
      </c>
      <c r="D188">
        <v>16674.695757477199</v>
      </c>
      <c r="E188">
        <v>69</v>
      </c>
      <c r="F188">
        <v>69</v>
      </c>
      <c r="K188">
        <v>0.65616854478086795</v>
      </c>
      <c r="L188">
        <v>1.7423823698268599</v>
      </c>
      <c r="M188">
        <v>0.25011158278656997</v>
      </c>
      <c r="N188">
        <v>24893</v>
      </c>
      <c r="R188">
        <v>537394</v>
      </c>
      <c r="T188">
        <v>14597563</v>
      </c>
    </row>
    <row r="189" spans="1:21" x14ac:dyDescent="0.3">
      <c r="A189" s="1">
        <v>45401</v>
      </c>
      <c r="B189">
        <v>36</v>
      </c>
      <c r="C189">
        <v>1655.0635681235899</v>
      </c>
      <c r="D189">
        <v>2070.74728979061</v>
      </c>
      <c r="E189">
        <v>16</v>
      </c>
      <c r="F189">
        <v>16</v>
      </c>
      <c r="K189">
        <v>0.34896216313702699</v>
      </c>
      <c r="L189">
        <v>1.4373408934060601</v>
      </c>
      <c r="M189">
        <v>0.26225746049381599</v>
      </c>
      <c r="N189">
        <v>3060</v>
      </c>
      <c r="T189">
        <v>1601554</v>
      </c>
    </row>
    <row r="190" spans="1:21" x14ac:dyDescent="0.3">
      <c r="A190" s="1">
        <v>45402</v>
      </c>
      <c r="B190">
        <v>29</v>
      </c>
      <c r="C190">
        <v>1657.6569353223199</v>
      </c>
      <c r="D190">
        <v>1309.7392689123601</v>
      </c>
      <c r="E190">
        <v>1</v>
      </c>
      <c r="F190">
        <v>1</v>
      </c>
      <c r="K190">
        <v>0.497212959256911</v>
      </c>
      <c r="L190">
        <v>1.51035011344736</v>
      </c>
      <c r="M190">
        <v>0.271860416072358</v>
      </c>
      <c r="N190">
        <v>2167</v>
      </c>
      <c r="T190">
        <v>1648060</v>
      </c>
    </row>
    <row r="191" spans="1:21" x14ac:dyDescent="0.3">
      <c r="A191" s="1">
        <v>45403</v>
      </c>
      <c r="B191">
        <v>2</v>
      </c>
      <c r="C191">
        <v>1565.75</v>
      </c>
      <c r="D191">
        <v>130.49299971473201</v>
      </c>
      <c r="K191">
        <v>0.315838981017172</v>
      </c>
      <c r="L191">
        <v>0.32623249242254099</v>
      </c>
      <c r="M191">
        <v>0.271860416072358</v>
      </c>
      <c r="N191">
        <v>282</v>
      </c>
    </row>
    <row r="192" spans="1:21" x14ac:dyDescent="0.3">
      <c r="A192" s="1">
        <v>45404</v>
      </c>
      <c r="B192">
        <v>97</v>
      </c>
      <c r="C192">
        <v>1904.6555375205</v>
      </c>
      <c r="D192">
        <v>5033.5589322153801</v>
      </c>
      <c r="E192">
        <v>44</v>
      </c>
      <c r="F192">
        <v>44</v>
      </c>
      <c r="K192">
        <v>0.624378189633362</v>
      </c>
      <c r="L192">
        <v>1.67586041537987</v>
      </c>
      <c r="M192">
        <v>0.26741072199884403</v>
      </c>
      <c r="N192">
        <v>7428</v>
      </c>
      <c r="R192">
        <v>813710</v>
      </c>
      <c r="T192">
        <v>5206742</v>
      </c>
    </row>
    <row r="193" spans="1:21" x14ac:dyDescent="0.3">
      <c r="A193" s="1">
        <v>45405</v>
      </c>
      <c r="B193">
        <v>141</v>
      </c>
      <c r="C193">
        <v>2019.25591547318</v>
      </c>
      <c r="D193">
        <v>6277.8621878599897</v>
      </c>
      <c r="E193">
        <v>44</v>
      </c>
      <c r="F193">
        <v>44</v>
      </c>
      <c r="K193">
        <v>0.64562753059311795</v>
      </c>
      <c r="L193">
        <v>1.7496536734352</v>
      </c>
      <c r="M193">
        <v>0.245343717096866</v>
      </c>
      <c r="N193">
        <v>9635</v>
      </c>
      <c r="R193">
        <v>1276340</v>
      </c>
      <c r="T193">
        <v>6766845</v>
      </c>
    </row>
    <row r="194" spans="1:21" x14ac:dyDescent="0.3">
      <c r="A194" s="1">
        <v>45406</v>
      </c>
      <c r="B194">
        <v>87</v>
      </c>
      <c r="C194">
        <v>1798.0341412814701</v>
      </c>
      <c r="D194">
        <v>3687.7377873126302</v>
      </c>
      <c r="E194">
        <v>22</v>
      </c>
      <c r="F194">
        <v>22</v>
      </c>
      <c r="K194">
        <v>0.53052359386306502</v>
      </c>
      <c r="L194">
        <v>1.5069277073379601</v>
      </c>
      <c r="M194">
        <v>0.26007648201105998</v>
      </c>
      <c r="N194">
        <v>5579</v>
      </c>
      <c r="R194">
        <v>699051</v>
      </c>
      <c r="T194">
        <v>3417477</v>
      </c>
    </row>
    <row r="195" spans="1:21" x14ac:dyDescent="0.3">
      <c r="A195" s="1">
        <v>45407</v>
      </c>
      <c r="B195">
        <v>95</v>
      </c>
      <c r="C195">
        <v>1850.5960893172401</v>
      </c>
      <c r="D195">
        <v>4428.0109623901799</v>
      </c>
      <c r="E195">
        <v>34</v>
      </c>
      <c r="F195">
        <v>34</v>
      </c>
      <c r="K195">
        <v>0.69147267645036703</v>
      </c>
      <c r="L195">
        <v>1.72188778802534</v>
      </c>
      <c r="M195">
        <v>0.25930887649888701</v>
      </c>
      <c r="N195">
        <v>6592</v>
      </c>
      <c r="R195">
        <v>765913</v>
      </c>
      <c r="T195">
        <v>4288486</v>
      </c>
    </row>
    <row r="196" spans="1:21" x14ac:dyDescent="0.3">
      <c r="A196" s="1">
        <v>45408</v>
      </c>
      <c r="B196">
        <v>65</v>
      </c>
      <c r="C196">
        <v>1727.52643276866</v>
      </c>
      <c r="D196">
        <v>3825.5788220546501</v>
      </c>
      <c r="E196">
        <v>16</v>
      </c>
      <c r="F196">
        <v>16</v>
      </c>
      <c r="K196">
        <v>0.62863600993329105</v>
      </c>
      <c r="L196">
        <v>1.64326090860392</v>
      </c>
      <c r="M196">
        <v>0.26824432791060598</v>
      </c>
      <c r="N196">
        <v>5720</v>
      </c>
      <c r="T196">
        <v>2900946</v>
      </c>
    </row>
    <row r="197" spans="1:21" x14ac:dyDescent="0.3">
      <c r="A197" s="1">
        <v>45409</v>
      </c>
      <c r="B197">
        <v>210</v>
      </c>
      <c r="C197">
        <v>2293.2523037511201</v>
      </c>
      <c r="D197">
        <v>8834.9063836639998</v>
      </c>
      <c r="E197">
        <v>94</v>
      </c>
      <c r="F197">
        <v>94</v>
      </c>
      <c r="K197">
        <v>0.663409260611595</v>
      </c>
      <c r="L197">
        <v>1.67768716984333</v>
      </c>
      <c r="M197">
        <v>0.28961364991487398</v>
      </c>
      <c r="N197">
        <v>13001</v>
      </c>
      <c r="R197">
        <v>2963351</v>
      </c>
      <c r="T197">
        <v>9470062</v>
      </c>
      <c r="U197">
        <v>177015</v>
      </c>
    </row>
    <row r="198" spans="1:21" x14ac:dyDescent="0.3">
      <c r="A198" s="1">
        <v>45410</v>
      </c>
      <c r="B198">
        <v>118</v>
      </c>
      <c r="C198">
        <v>1948.91322133313</v>
      </c>
      <c r="D198">
        <v>3665.9483794623102</v>
      </c>
      <c r="E198">
        <v>60</v>
      </c>
      <c r="F198">
        <v>60</v>
      </c>
      <c r="K198">
        <v>0.53709561725170596</v>
      </c>
      <c r="L198">
        <v>1.60628149893613</v>
      </c>
      <c r="M198">
        <v>0.271860416072358</v>
      </c>
      <c r="N198">
        <v>5477</v>
      </c>
      <c r="R198">
        <v>2821105</v>
      </c>
      <c r="T198">
        <v>3852982</v>
      </c>
    </row>
    <row r="199" spans="1:21" x14ac:dyDescent="0.3">
      <c r="A199" s="1">
        <v>45411</v>
      </c>
      <c r="B199">
        <v>74</v>
      </c>
      <c r="C199">
        <v>1810.02498611435</v>
      </c>
      <c r="D199">
        <v>2864.7928249967599</v>
      </c>
      <c r="E199">
        <v>31</v>
      </c>
      <c r="F199">
        <v>31</v>
      </c>
      <c r="K199">
        <v>0.39594226336872201</v>
      </c>
      <c r="L199">
        <v>1.6355744831052399</v>
      </c>
      <c r="M199">
        <v>0.24347054557348299</v>
      </c>
      <c r="N199">
        <v>4329</v>
      </c>
      <c r="R199">
        <v>1208254</v>
      </c>
      <c r="T199">
        <v>3087784</v>
      </c>
    </row>
    <row r="200" spans="1:21" x14ac:dyDescent="0.3">
      <c r="A200" s="1">
        <v>45412</v>
      </c>
      <c r="B200">
        <v>137</v>
      </c>
      <c r="C200">
        <v>1975.9758196606299</v>
      </c>
      <c r="D200">
        <v>5378.11148452416</v>
      </c>
      <c r="E200">
        <v>45</v>
      </c>
      <c r="F200">
        <v>45</v>
      </c>
      <c r="K200">
        <v>0.53899395865334698</v>
      </c>
      <c r="L200">
        <v>1.5119015668425699</v>
      </c>
      <c r="M200">
        <v>0.247535506215497</v>
      </c>
      <c r="N200">
        <v>8220</v>
      </c>
      <c r="R200">
        <v>1535533</v>
      </c>
      <c r="T200">
        <v>5713483</v>
      </c>
    </row>
    <row r="201" spans="1:21" x14ac:dyDescent="0.3">
      <c r="A201" s="1">
        <v>45413</v>
      </c>
      <c r="B201">
        <v>114</v>
      </c>
      <c r="C201">
        <v>1925.64043423613</v>
      </c>
      <c r="D201">
        <v>4430.6801646837303</v>
      </c>
      <c r="E201">
        <v>47</v>
      </c>
      <c r="F201">
        <v>47</v>
      </c>
      <c r="K201">
        <v>0.52321466934106498</v>
      </c>
      <c r="L201">
        <v>1.9956048243468001</v>
      </c>
      <c r="M201">
        <v>0.26098599942946399</v>
      </c>
      <c r="N201">
        <v>6741</v>
      </c>
      <c r="R201">
        <v>1800474</v>
      </c>
      <c r="T201">
        <v>4527459</v>
      </c>
    </row>
    <row r="202" spans="1:21" x14ac:dyDescent="0.3">
      <c r="A202" s="1">
        <v>45414</v>
      </c>
      <c r="B202">
        <v>65</v>
      </c>
      <c r="C202">
        <v>1742.07090522116</v>
      </c>
      <c r="D202">
        <v>2409.6753306624801</v>
      </c>
      <c r="E202">
        <v>26</v>
      </c>
      <c r="F202">
        <v>26</v>
      </c>
      <c r="K202">
        <v>0.86522341617477805</v>
      </c>
      <c r="L202">
        <v>1.6752564938519201</v>
      </c>
      <c r="M202">
        <v>0.28544209501183998</v>
      </c>
      <c r="N202">
        <v>3698</v>
      </c>
      <c r="R202">
        <v>849148</v>
      </c>
      <c r="T202">
        <v>2253394</v>
      </c>
    </row>
    <row r="203" spans="1:21" x14ac:dyDescent="0.3">
      <c r="A203" s="1">
        <v>45415</v>
      </c>
      <c r="B203">
        <v>97</v>
      </c>
      <c r="C203">
        <v>1934.7338010016999</v>
      </c>
      <c r="D203">
        <v>4125.3945642537301</v>
      </c>
      <c r="E203">
        <v>40</v>
      </c>
      <c r="F203">
        <v>40</v>
      </c>
      <c r="K203">
        <v>0.70306414427542596</v>
      </c>
      <c r="L203">
        <v>1.4861252962606799</v>
      </c>
      <c r="M203">
        <v>0.247952320289062</v>
      </c>
      <c r="N203">
        <v>6362</v>
      </c>
      <c r="R203">
        <v>1584186</v>
      </c>
      <c r="T203">
        <v>4921894</v>
      </c>
    </row>
    <row r="204" spans="1:21" x14ac:dyDescent="0.3">
      <c r="A204" s="1">
        <v>45416</v>
      </c>
      <c r="B204">
        <v>107</v>
      </c>
      <c r="C204">
        <v>1794.2977582020801</v>
      </c>
      <c r="D204">
        <v>4194.9036130470304</v>
      </c>
      <c r="E204">
        <v>46</v>
      </c>
      <c r="F204">
        <v>46</v>
      </c>
      <c r="K204">
        <v>0.56928579071188101</v>
      </c>
      <c r="L204">
        <v>1.6351771549456999</v>
      </c>
      <c r="M204">
        <v>0.26098599942946399</v>
      </c>
      <c r="N204">
        <v>6451</v>
      </c>
      <c r="R204">
        <v>1593104</v>
      </c>
      <c r="T204">
        <v>2394081</v>
      </c>
    </row>
    <row r="205" spans="1:21" x14ac:dyDescent="0.3">
      <c r="A205" s="1">
        <v>45417</v>
      </c>
      <c r="B205">
        <v>7</v>
      </c>
      <c r="C205">
        <v>1592.28099096354</v>
      </c>
      <c r="D205">
        <v>249.894094453712</v>
      </c>
      <c r="K205">
        <v>0.44962574398970601</v>
      </c>
      <c r="L205">
        <v>0.87022994817631605</v>
      </c>
      <c r="M205">
        <v>0.26098599942946399</v>
      </c>
      <c r="N205">
        <v>466</v>
      </c>
      <c r="T205">
        <v>475749</v>
      </c>
    </row>
    <row r="206" spans="1:21" x14ac:dyDescent="0.3">
      <c r="A206" s="1">
        <v>45418</v>
      </c>
      <c r="B206">
        <v>115</v>
      </c>
      <c r="C206">
        <v>1976.7474011833599</v>
      </c>
      <c r="D206">
        <v>4721.5640758719701</v>
      </c>
      <c r="E206">
        <v>43</v>
      </c>
      <c r="F206">
        <v>43</v>
      </c>
      <c r="K206">
        <v>0.66066933232983105</v>
      </c>
      <c r="L206">
        <v>1.57446778756965</v>
      </c>
      <c r="M206">
        <v>0.25011158278656997</v>
      </c>
      <c r="N206">
        <v>7195</v>
      </c>
      <c r="R206">
        <v>1731858</v>
      </c>
      <c r="T206">
        <v>5517303</v>
      </c>
    </row>
    <row r="207" spans="1:21" x14ac:dyDescent="0.3">
      <c r="A207" s="1">
        <v>45419</v>
      </c>
      <c r="B207">
        <v>71</v>
      </c>
      <c r="C207">
        <v>1757.04315437525</v>
      </c>
      <c r="D207">
        <v>2014.1602553663699</v>
      </c>
      <c r="E207">
        <v>28</v>
      </c>
      <c r="F207">
        <v>28</v>
      </c>
      <c r="K207">
        <v>0.56301421532481499</v>
      </c>
      <c r="L207">
        <v>1.4288124701862399</v>
      </c>
      <c r="M207">
        <v>0.28273483271525301</v>
      </c>
      <c r="N207">
        <v>3163</v>
      </c>
      <c r="R207">
        <v>1689798</v>
      </c>
      <c r="T207">
        <v>1622599</v>
      </c>
    </row>
    <row r="208" spans="1:21" x14ac:dyDescent="0.3">
      <c r="A208" s="1">
        <v>45420</v>
      </c>
      <c r="B208">
        <v>175</v>
      </c>
      <c r="C208">
        <v>2118.1132430611601</v>
      </c>
      <c r="D208">
        <v>9279.2129589931392</v>
      </c>
      <c r="E208">
        <v>73</v>
      </c>
      <c r="F208">
        <v>73</v>
      </c>
      <c r="K208">
        <v>0.61025355441409002</v>
      </c>
      <c r="L208">
        <v>1.67662325210327</v>
      </c>
      <c r="M208">
        <v>0.26098599942946399</v>
      </c>
      <c r="N208">
        <v>13426</v>
      </c>
      <c r="R208">
        <v>812334</v>
      </c>
      <c r="T208">
        <v>9035896</v>
      </c>
    </row>
    <row r="209" spans="1:21" x14ac:dyDescent="0.3">
      <c r="A209" s="1">
        <v>45421</v>
      </c>
      <c r="B209">
        <v>82</v>
      </c>
      <c r="C209">
        <v>1804.2173791927801</v>
      </c>
      <c r="D209">
        <v>3708.6522744173799</v>
      </c>
      <c r="E209">
        <v>23</v>
      </c>
      <c r="F209">
        <v>23</v>
      </c>
      <c r="K209">
        <v>0.53114445451265702</v>
      </c>
      <c r="L209">
        <v>1.4859332370471201</v>
      </c>
      <c r="M209">
        <v>0.26098599942946399</v>
      </c>
      <c r="N209">
        <v>5556</v>
      </c>
      <c r="R209">
        <v>664332</v>
      </c>
      <c r="T209">
        <v>3565496</v>
      </c>
    </row>
    <row r="210" spans="1:21" x14ac:dyDescent="0.3">
      <c r="A210" s="1">
        <v>45422</v>
      </c>
      <c r="B210">
        <v>194</v>
      </c>
      <c r="C210">
        <v>2175.2582612528099</v>
      </c>
      <c r="D210">
        <v>6462.2271022087398</v>
      </c>
      <c r="E210">
        <v>93</v>
      </c>
      <c r="F210">
        <v>93</v>
      </c>
      <c r="K210">
        <v>0.50719513128093596</v>
      </c>
      <c r="L210">
        <v>1.7164827747656899</v>
      </c>
      <c r="M210">
        <v>0.25011158278656997</v>
      </c>
      <c r="N210">
        <v>9536</v>
      </c>
      <c r="R210">
        <v>3832563</v>
      </c>
      <c r="T210">
        <v>6829747</v>
      </c>
    </row>
    <row r="211" spans="1:21" x14ac:dyDescent="0.3">
      <c r="A211" s="1">
        <v>45423</v>
      </c>
      <c r="B211">
        <v>5</v>
      </c>
      <c r="C211">
        <v>1618.75443060763</v>
      </c>
      <c r="D211">
        <v>300.266221293667</v>
      </c>
      <c r="K211">
        <v>0.44357523732231302</v>
      </c>
      <c r="L211">
        <v>1.1130081998378101</v>
      </c>
      <c r="M211">
        <v>0.25011158278656997</v>
      </c>
      <c r="N211">
        <v>752</v>
      </c>
      <c r="T211">
        <v>950466</v>
      </c>
    </row>
    <row r="212" spans="1:21" x14ac:dyDescent="0.3">
      <c r="A212" s="1">
        <v>45424</v>
      </c>
      <c r="B212">
        <v>10</v>
      </c>
      <c r="C212">
        <v>1622.0598393344901</v>
      </c>
      <c r="D212">
        <v>702.165952889339</v>
      </c>
      <c r="E212">
        <v>5</v>
      </c>
      <c r="F212">
        <v>5</v>
      </c>
      <c r="K212">
        <v>0.56675829854122906</v>
      </c>
      <c r="L212">
        <v>1.4712873082266</v>
      </c>
      <c r="M212">
        <v>0.26098599942946399</v>
      </c>
      <c r="N212">
        <v>1274</v>
      </c>
      <c r="T212">
        <v>1009738</v>
      </c>
    </row>
    <row r="213" spans="1:21" x14ac:dyDescent="0.3">
      <c r="A213" s="1">
        <v>45425</v>
      </c>
      <c r="B213">
        <v>76</v>
      </c>
      <c r="C213">
        <v>1807.8317859988999</v>
      </c>
      <c r="D213">
        <v>2108.2764857418802</v>
      </c>
      <c r="E213">
        <v>40</v>
      </c>
      <c r="F213">
        <v>40</v>
      </c>
      <c r="K213">
        <v>0.50691333265476402</v>
      </c>
      <c r="L213">
        <v>1.5380634008691401</v>
      </c>
      <c r="M213">
        <v>0.25011158278656997</v>
      </c>
      <c r="N213">
        <v>3473</v>
      </c>
      <c r="R213">
        <v>2159306</v>
      </c>
      <c r="T213">
        <v>2031084</v>
      </c>
    </row>
    <row r="214" spans="1:21" x14ac:dyDescent="0.3">
      <c r="A214" s="1">
        <v>45426</v>
      </c>
      <c r="B214">
        <v>76</v>
      </c>
      <c r="C214">
        <v>1816.4378180424701</v>
      </c>
      <c r="D214">
        <v>2568.5264162061499</v>
      </c>
      <c r="E214">
        <v>26</v>
      </c>
      <c r="F214">
        <v>26</v>
      </c>
      <c r="K214">
        <v>0.44343014953519</v>
      </c>
      <c r="L214">
        <v>1.5059031542306101</v>
      </c>
      <c r="M214">
        <v>0.246634256563009</v>
      </c>
      <c r="N214">
        <v>3968</v>
      </c>
      <c r="R214">
        <v>1092462</v>
      </c>
      <c r="T214">
        <v>3129798</v>
      </c>
      <c r="U214">
        <v>85956</v>
      </c>
    </row>
    <row r="215" spans="1:21" x14ac:dyDescent="0.3">
      <c r="A215" s="1">
        <v>45427</v>
      </c>
      <c r="B215">
        <v>1</v>
      </c>
      <c r="C215">
        <v>1582.4416070585501</v>
      </c>
      <c r="D215">
        <v>117.002837715479</v>
      </c>
      <c r="K215">
        <v>0.43295982493792901</v>
      </c>
      <c r="L215">
        <v>1.5114014499545601</v>
      </c>
      <c r="M215">
        <v>0.26098599942946399</v>
      </c>
      <c r="N215">
        <v>332</v>
      </c>
      <c r="T215">
        <v>299311</v>
      </c>
    </row>
    <row r="216" spans="1:21" x14ac:dyDescent="0.3">
      <c r="A216" s="1">
        <v>45428</v>
      </c>
      <c r="B216">
        <v>4</v>
      </c>
      <c r="C216">
        <v>1585.87834182856</v>
      </c>
      <c r="D216">
        <v>268.18568957344399</v>
      </c>
      <c r="K216">
        <v>0.43924964971817498</v>
      </c>
      <c r="L216">
        <v>1.55900975990566</v>
      </c>
      <c r="M216">
        <v>0.271860416072358</v>
      </c>
      <c r="N216">
        <v>508</v>
      </c>
      <c r="T216">
        <v>360938</v>
      </c>
    </row>
    <row r="217" spans="1:21" x14ac:dyDescent="0.3">
      <c r="A217" s="1">
        <v>45429</v>
      </c>
      <c r="B217">
        <v>94</v>
      </c>
      <c r="C217">
        <v>1878.9882389767399</v>
      </c>
      <c r="D217">
        <v>3294.1835399968299</v>
      </c>
      <c r="E217">
        <v>39</v>
      </c>
      <c r="F217">
        <v>39</v>
      </c>
      <c r="K217">
        <v>0.52229586438740305</v>
      </c>
      <c r="L217">
        <v>1.49327638211817</v>
      </c>
      <c r="M217">
        <v>0.24972079860545601</v>
      </c>
      <c r="N217">
        <v>5282</v>
      </c>
      <c r="R217">
        <v>1706083</v>
      </c>
      <c r="T217">
        <v>3791878</v>
      </c>
    </row>
    <row r="218" spans="1:21" x14ac:dyDescent="0.3">
      <c r="A218" s="1">
        <v>45430</v>
      </c>
      <c r="B218">
        <v>49</v>
      </c>
      <c r="C218">
        <v>1734.14646735923</v>
      </c>
      <c r="D218">
        <v>1917.7948917204701</v>
      </c>
      <c r="E218">
        <v>3</v>
      </c>
      <c r="F218">
        <v>3</v>
      </c>
      <c r="K218">
        <v>0.509318450384453</v>
      </c>
      <c r="L218">
        <v>1.3845803779822501</v>
      </c>
      <c r="M218">
        <v>0.25230067013516999</v>
      </c>
      <c r="N218">
        <v>3003</v>
      </c>
      <c r="T218">
        <v>3019656</v>
      </c>
    </row>
    <row r="219" spans="1:21" x14ac:dyDescent="0.3">
      <c r="A219" s="1">
        <v>45431</v>
      </c>
      <c r="B219">
        <v>5</v>
      </c>
      <c r="C219">
        <v>1580.2779717853</v>
      </c>
      <c r="D219">
        <v>236.929613556677</v>
      </c>
      <c r="E219">
        <v>1</v>
      </c>
      <c r="F219">
        <v>1</v>
      </c>
      <c r="K219">
        <v>0.403382900983485</v>
      </c>
      <c r="L219">
        <v>1.4140218876194399</v>
      </c>
      <c r="M219">
        <v>0.32623246588062499</v>
      </c>
      <c r="N219">
        <v>440</v>
      </c>
      <c r="T219">
        <v>260513</v>
      </c>
    </row>
    <row r="220" spans="1:21" x14ac:dyDescent="0.3">
      <c r="A220" s="1">
        <v>45432</v>
      </c>
      <c r="B220">
        <v>7</v>
      </c>
      <c r="C220">
        <v>1587.0216814814801</v>
      </c>
      <c r="D220">
        <v>484.14221066874597</v>
      </c>
      <c r="E220">
        <v>3</v>
      </c>
      <c r="F220">
        <v>3</v>
      </c>
      <c r="K220">
        <v>0.34091351019400201</v>
      </c>
      <c r="L220">
        <v>1.6182522168498601</v>
      </c>
      <c r="M220">
        <v>0.28110208691967298</v>
      </c>
      <c r="N220">
        <v>838</v>
      </c>
      <c r="T220">
        <v>381440</v>
      </c>
    </row>
    <row r="221" spans="1:21" x14ac:dyDescent="0.3">
      <c r="A221" s="1">
        <v>45433</v>
      </c>
      <c r="B221">
        <v>91</v>
      </c>
      <c r="C221">
        <v>1840.4165015988499</v>
      </c>
      <c r="D221">
        <v>3047.80027861496</v>
      </c>
      <c r="E221">
        <v>43</v>
      </c>
      <c r="F221">
        <v>43</v>
      </c>
      <c r="K221">
        <v>0.47923413763890199</v>
      </c>
      <c r="L221">
        <v>1.5373758815058201</v>
      </c>
      <c r="M221">
        <v>0.25011158278656997</v>
      </c>
      <c r="N221">
        <v>4741</v>
      </c>
      <c r="R221">
        <v>1902317</v>
      </c>
      <c r="T221">
        <v>2890298</v>
      </c>
    </row>
    <row r="222" spans="1:21" x14ac:dyDescent="0.3">
      <c r="A222" s="1">
        <v>45434</v>
      </c>
      <c r="B222">
        <v>1</v>
      </c>
      <c r="C222">
        <v>1574.3299425405</v>
      </c>
      <c r="D222">
        <v>114.18137475039001</v>
      </c>
      <c r="K222">
        <v>0.30587473639040502</v>
      </c>
      <c r="L222">
        <v>0.79168182287853195</v>
      </c>
      <c r="M222">
        <v>0.28273483271525301</v>
      </c>
      <c r="N222">
        <v>243</v>
      </c>
      <c r="T222">
        <v>153854</v>
      </c>
    </row>
    <row r="223" spans="1:21" x14ac:dyDescent="0.3">
      <c r="A223" s="1">
        <v>45435</v>
      </c>
      <c r="B223">
        <v>45</v>
      </c>
      <c r="C223">
        <v>1725.82885804744</v>
      </c>
      <c r="D223">
        <v>1844.8455581723799</v>
      </c>
      <c r="E223">
        <v>7</v>
      </c>
      <c r="F223">
        <v>7</v>
      </c>
      <c r="K223">
        <v>0.64688797753406302</v>
      </c>
      <c r="L223">
        <v>1.58682105773375</v>
      </c>
      <c r="M223">
        <v>0.256301985203019</v>
      </c>
      <c r="N223">
        <v>2989</v>
      </c>
      <c r="R223">
        <v>195768</v>
      </c>
      <c r="T223">
        <v>2661087</v>
      </c>
    </row>
    <row r="224" spans="1:21" x14ac:dyDescent="0.3">
      <c r="A224" s="1">
        <v>45436</v>
      </c>
      <c r="B224">
        <v>3</v>
      </c>
      <c r="C224">
        <v>1575.6054961545101</v>
      </c>
      <c r="D224">
        <v>161.81131964626701</v>
      </c>
      <c r="K224">
        <v>0.27606335136042098</v>
      </c>
      <c r="L224">
        <v>0.45571249926770102</v>
      </c>
      <c r="M224">
        <v>0.25830025708268101</v>
      </c>
      <c r="N224">
        <v>526</v>
      </c>
      <c r="T224">
        <v>176727</v>
      </c>
    </row>
    <row r="225" spans="1:20" x14ac:dyDescent="0.3">
      <c r="A225" s="1">
        <v>45437</v>
      </c>
      <c r="B225">
        <v>4</v>
      </c>
      <c r="C225">
        <v>1575.1804975057801</v>
      </c>
      <c r="D225">
        <v>231.27111334197701</v>
      </c>
      <c r="K225">
        <v>0.37591355314297697</v>
      </c>
      <c r="L225">
        <v>0.85493129238494303</v>
      </c>
      <c r="M225">
        <v>0.25011158278656997</v>
      </c>
      <c r="N225">
        <v>539</v>
      </c>
      <c r="T225">
        <v>169106</v>
      </c>
    </row>
    <row r="226" spans="1:20" x14ac:dyDescent="0.3">
      <c r="A226" s="1">
        <v>45438</v>
      </c>
      <c r="B226">
        <v>73</v>
      </c>
      <c r="C226">
        <v>1820.90028752221</v>
      </c>
      <c r="D226">
        <v>2435.3958228121701</v>
      </c>
      <c r="E226">
        <v>37</v>
      </c>
      <c r="F226">
        <v>37</v>
      </c>
      <c r="K226">
        <v>0.494937038674026</v>
      </c>
      <c r="L226">
        <v>1.9436856696409399</v>
      </c>
      <c r="M226">
        <v>0.26558909782747098</v>
      </c>
      <c r="N226">
        <v>3722</v>
      </c>
      <c r="R226">
        <v>1785141</v>
      </c>
      <c r="T226">
        <v>2665682</v>
      </c>
    </row>
    <row r="227" spans="1:20" x14ac:dyDescent="0.3">
      <c r="A227" s="1">
        <v>45439</v>
      </c>
      <c r="B227">
        <v>28</v>
      </c>
      <c r="C227">
        <v>1659.6828877432899</v>
      </c>
      <c r="D227">
        <v>1495.91724070191</v>
      </c>
      <c r="E227">
        <v>11</v>
      </c>
      <c r="F227">
        <v>11</v>
      </c>
      <c r="K227">
        <v>0.96844816997527305</v>
      </c>
      <c r="L227">
        <v>1.5094304220413799</v>
      </c>
      <c r="M227">
        <v>0.29360924935814697</v>
      </c>
      <c r="N227">
        <v>2167</v>
      </c>
      <c r="T227">
        <v>1684388</v>
      </c>
    </row>
    <row r="228" spans="1:20" x14ac:dyDescent="0.3">
      <c r="A228" s="1">
        <v>45440</v>
      </c>
      <c r="B228">
        <v>2</v>
      </c>
      <c r="C228">
        <v>1568.10692729166</v>
      </c>
      <c r="D228">
        <v>90.040169803165199</v>
      </c>
      <c r="K228">
        <v>0.65180286387120201</v>
      </c>
      <c r="L228">
        <v>0.698513732837305</v>
      </c>
      <c r="M228">
        <v>0.326232490495723</v>
      </c>
      <c r="N228">
        <v>306</v>
      </c>
      <c r="T228">
        <v>42264</v>
      </c>
    </row>
    <row r="229" spans="1:20" x14ac:dyDescent="0.3">
      <c r="A229" s="1">
        <v>45441</v>
      </c>
      <c r="B229">
        <v>201</v>
      </c>
      <c r="C229">
        <v>2151.8562785245899</v>
      </c>
      <c r="D229">
        <v>10895.8571122431</v>
      </c>
      <c r="E229">
        <v>83</v>
      </c>
      <c r="F229">
        <v>83</v>
      </c>
      <c r="K229">
        <v>0.49266968416905899</v>
      </c>
      <c r="L229">
        <v>1.6816229832993099</v>
      </c>
      <c r="M229">
        <v>0.26098599942946399</v>
      </c>
      <c r="N229">
        <v>15760</v>
      </c>
      <c r="R229">
        <v>658830</v>
      </c>
      <c r="T229">
        <v>9804220</v>
      </c>
    </row>
    <row r="230" spans="1:20" x14ac:dyDescent="0.3">
      <c r="A230" s="1">
        <v>45442</v>
      </c>
      <c r="B230">
        <v>34</v>
      </c>
      <c r="C230">
        <v>1671.4823681502901</v>
      </c>
      <c r="D230">
        <v>1919.23288596815</v>
      </c>
      <c r="E230">
        <v>11</v>
      </c>
      <c r="F230">
        <v>11</v>
      </c>
      <c r="K230">
        <v>0.468226670151836</v>
      </c>
      <c r="L230">
        <v>1.6402766432112299</v>
      </c>
      <c r="M230">
        <v>0.25011158278656997</v>
      </c>
      <c r="N230">
        <v>2899</v>
      </c>
      <c r="T230">
        <v>1895974</v>
      </c>
    </row>
    <row r="231" spans="1:20" x14ac:dyDescent="0.3">
      <c r="A231" s="1">
        <v>45443</v>
      </c>
      <c r="B231">
        <v>48</v>
      </c>
      <c r="C231">
        <v>1728.1286361742</v>
      </c>
      <c r="D231">
        <v>3211.7501681745998</v>
      </c>
      <c r="E231">
        <v>27</v>
      </c>
      <c r="F231">
        <v>26</v>
      </c>
      <c r="K231">
        <v>0.47743006106795399</v>
      </c>
      <c r="L231">
        <v>2.3705842958711898</v>
      </c>
      <c r="M231">
        <v>0.25011158278656997</v>
      </c>
      <c r="N231">
        <v>4701</v>
      </c>
      <c r="T231">
        <v>2911745</v>
      </c>
    </row>
    <row r="232" spans="1:20" x14ac:dyDescent="0.3">
      <c r="A232" s="1">
        <v>45444</v>
      </c>
      <c r="B232">
        <v>37</v>
      </c>
      <c r="C232">
        <v>1677.75398633282</v>
      </c>
      <c r="D232">
        <v>1986.9092448171</v>
      </c>
      <c r="E232">
        <v>10</v>
      </c>
      <c r="F232">
        <v>10</v>
      </c>
      <c r="K232">
        <v>0.59905600526890201</v>
      </c>
      <c r="L232">
        <v>1.3990561728194599</v>
      </c>
      <c r="M232">
        <v>0.25328310464576198</v>
      </c>
      <c r="N232">
        <v>3027</v>
      </c>
      <c r="T232">
        <v>2008437</v>
      </c>
    </row>
    <row r="233" spans="1:20" x14ac:dyDescent="0.3">
      <c r="A233" s="1">
        <v>45445</v>
      </c>
      <c r="B233">
        <v>78</v>
      </c>
      <c r="C233">
        <v>1717.36797693983</v>
      </c>
      <c r="D233">
        <v>3404.4717225335999</v>
      </c>
      <c r="E233">
        <v>13</v>
      </c>
      <c r="F233">
        <v>13</v>
      </c>
      <c r="K233">
        <v>0.37419333383953601</v>
      </c>
      <c r="L233">
        <v>1.48191389585051</v>
      </c>
      <c r="M233">
        <v>0.26098599942946399</v>
      </c>
      <c r="N233">
        <v>5179</v>
      </c>
      <c r="T233">
        <v>2718788</v>
      </c>
    </row>
    <row r="234" spans="1:20" x14ac:dyDescent="0.3">
      <c r="A234" s="1">
        <v>45446</v>
      </c>
      <c r="B234">
        <v>134</v>
      </c>
      <c r="C234">
        <v>1967.9743538763801</v>
      </c>
      <c r="D234">
        <v>8064.3137175333504</v>
      </c>
      <c r="E234">
        <v>54</v>
      </c>
      <c r="F234">
        <v>54</v>
      </c>
      <c r="K234">
        <v>0.50105849596157204</v>
      </c>
      <c r="L234">
        <v>1.52733067065256</v>
      </c>
      <c r="M234">
        <v>0.257898543669554</v>
      </c>
      <c r="N234">
        <v>11907</v>
      </c>
      <c r="T234">
        <v>7212616</v>
      </c>
    </row>
    <row r="235" spans="1:20" x14ac:dyDescent="0.3">
      <c r="A235" s="1">
        <v>45447</v>
      </c>
      <c r="B235">
        <v>98</v>
      </c>
      <c r="C235">
        <v>1892.7178761363</v>
      </c>
      <c r="D235">
        <v>4862.3012735564798</v>
      </c>
      <c r="E235">
        <v>26</v>
      </c>
      <c r="F235">
        <v>24</v>
      </c>
      <c r="K235">
        <v>0.66898613833929599</v>
      </c>
      <c r="L235">
        <v>2.05954330097375</v>
      </c>
      <c r="M235">
        <v>0.26098599942946399</v>
      </c>
      <c r="N235">
        <v>7406</v>
      </c>
      <c r="T235">
        <v>5863133</v>
      </c>
    </row>
    <row r="236" spans="1:20" x14ac:dyDescent="0.3">
      <c r="A236" s="1">
        <v>45448</v>
      </c>
      <c r="B236">
        <v>28</v>
      </c>
      <c r="C236">
        <v>1606.44845077788</v>
      </c>
      <c r="D236">
        <v>1635.2883354130699</v>
      </c>
      <c r="E236">
        <v>10</v>
      </c>
      <c r="F236">
        <v>10</v>
      </c>
      <c r="K236">
        <v>0.49812304953321102</v>
      </c>
      <c r="L236">
        <v>1.5227200640316001</v>
      </c>
      <c r="M236">
        <v>0.291106476436435</v>
      </c>
      <c r="N236">
        <v>2460</v>
      </c>
      <c r="T236">
        <v>729798</v>
      </c>
    </row>
    <row r="237" spans="1:20" x14ac:dyDescent="0.3">
      <c r="A237" s="1">
        <v>45449</v>
      </c>
      <c r="B237">
        <v>22</v>
      </c>
      <c r="C237">
        <v>1626.2114348591101</v>
      </c>
      <c r="D237">
        <v>1279.6244643341799</v>
      </c>
      <c r="E237">
        <v>7</v>
      </c>
      <c r="F237">
        <v>7</v>
      </c>
      <c r="K237">
        <v>0.338801661794702</v>
      </c>
      <c r="L237">
        <v>1.4429867907376901</v>
      </c>
      <c r="M237">
        <v>0.25011158278656997</v>
      </c>
      <c r="N237">
        <v>2119</v>
      </c>
      <c r="T237">
        <v>1084184</v>
      </c>
    </row>
    <row r="238" spans="1:20" x14ac:dyDescent="0.3">
      <c r="A238" s="1">
        <v>45450</v>
      </c>
      <c r="B238">
        <v>94</v>
      </c>
      <c r="C238">
        <v>1848.5652219337001</v>
      </c>
      <c r="D238">
        <v>3690.0670232114298</v>
      </c>
      <c r="E238">
        <v>24</v>
      </c>
      <c r="F238">
        <v>24</v>
      </c>
      <c r="K238">
        <v>0.63617737708922895</v>
      </c>
      <c r="L238">
        <v>1.52124393729186</v>
      </c>
      <c r="M238">
        <v>0.25011158278656997</v>
      </c>
      <c r="N238">
        <v>5746</v>
      </c>
      <c r="R238">
        <v>857971</v>
      </c>
      <c r="T238">
        <v>4153590</v>
      </c>
    </row>
    <row r="239" spans="1:20" x14ac:dyDescent="0.3">
      <c r="A239" s="1">
        <v>45451</v>
      </c>
      <c r="B239">
        <v>74</v>
      </c>
      <c r="C239">
        <v>1822.5091109620701</v>
      </c>
      <c r="D239">
        <v>2623.5749052237802</v>
      </c>
      <c r="E239">
        <v>48</v>
      </c>
      <c r="F239">
        <v>48</v>
      </c>
      <c r="K239">
        <v>0.75166672244214805</v>
      </c>
      <c r="L239">
        <v>1.51413104861548</v>
      </c>
      <c r="M239">
        <v>0.28273483271525301</v>
      </c>
      <c r="N239">
        <v>3958</v>
      </c>
      <c r="R239">
        <v>1928467</v>
      </c>
      <c r="T239">
        <v>2541210</v>
      </c>
    </row>
    <row r="240" spans="1:20" x14ac:dyDescent="0.3">
      <c r="A240" s="1">
        <v>45452</v>
      </c>
      <c r="B240">
        <v>12</v>
      </c>
      <c r="C240">
        <v>1605.04213190261</v>
      </c>
      <c r="D240">
        <v>526.20810194382796</v>
      </c>
      <c r="E240">
        <v>1</v>
      </c>
      <c r="F240">
        <v>1</v>
      </c>
      <c r="K240">
        <v>0.373766238368619</v>
      </c>
      <c r="L240">
        <v>1.2804801724712001</v>
      </c>
      <c r="M240">
        <v>0.25011158278656997</v>
      </c>
      <c r="N240">
        <v>915</v>
      </c>
      <c r="T240">
        <v>704580</v>
      </c>
    </row>
    <row r="241" spans="1:20" x14ac:dyDescent="0.3">
      <c r="A241" s="1">
        <v>45453</v>
      </c>
      <c r="B241">
        <v>58</v>
      </c>
      <c r="C241">
        <v>1750.2262486429299</v>
      </c>
      <c r="D241">
        <v>354.71028423309599</v>
      </c>
      <c r="E241">
        <v>49</v>
      </c>
      <c r="F241">
        <v>49</v>
      </c>
      <c r="K241">
        <v>0.34327563837529601</v>
      </c>
      <c r="L241">
        <v>1.25154994882826</v>
      </c>
      <c r="M241">
        <v>0.271860416072358</v>
      </c>
      <c r="N241">
        <v>665</v>
      </c>
      <c r="R241">
        <v>2997528</v>
      </c>
      <c r="T241">
        <v>101435</v>
      </c>
    </row>
    <row r="242" spans="1:20" x14ac:dyDescent="0.3">
      <c r="A242" s="1">
        <v>45454</v>
      </c>
      <c r="B242">
        <v>117</v>
      </c>
      <c r="C242">
        <v>1897.6177865525599</v>
      </c>
      <c r="D242">
        <v>4704.7617032115304</v>
      </c>
      <c r="E242">
        <v>37</v>
      </c>
      <c r="F242">
        <v>37</v>
      </c>
      <c r="K242">
        <v>0.86662332027367694</v>
      </c>
      <c r="L242">
        <v>1.67517452421505</v>
      </c>
      <c r="M242">
        <v>0.249554877157044</v>
      </c>
      <c r="N242">
        <v>7054</v>
      </c>
      <c r="R242">
        <v>1387369</v>
      </c>
      <c r="T242">
        <v>4466862</v>
      </c>
    </row>
    <row r="243" spans="1:20" x14ac:dyDescent="0.3">
      <c r="A243" s="1">
        <v>45455</v>
      </c>
      <c r="C243">
        <v>1565.75</v>
      </c>
      <c r="D243">
        <v>16.9640899629151</v>
      </c>
      <c r="K243">
        <v>0.25011158278656997</v>
      </c>
      <c r="L243">
        <v>0.25011158278656997</v>
      </c>
      <c r="M243">
        <v>0.25011158278656997</v>
      </c>
      <c r="N243">
        <v>88</v>
      </c>
    </row>
    <row r="244" spans="1:20" x14ac:dyDescent="0.3">
      <c r="A244" s="1">
        <v>45456</v>
      </c>
      <c r="B244">
        <v>6</v>
      </c>
      <c r="C244">
        <v>1578.77881297982</v>
      </c>
      <c r="D244">
        <v>262.334027858225</v>
      </c>
      <c r="K244">
        <v>0.99617687982721903</v>
      </c>
      <c r="L244">
        <v>1.3302257453447199</v>
      </c>
      <c r="M244">
        <v>0.49894546447847699</v>
      </c>
      <c r="N244">
        <v>508</v>
      </c>
      <c r="T244">
        <v>233631</v>
      </c>
    </row>
    <row r="245" spans="1:20" x14ac:dyDescent="0.3">
      <c r="A245" s="1">
        <v>45457</v>
      </c>
      <c r="B245">
        <v>67</v>
      </c>
      <c r="C245">
        <v>1700.03577567103</v>
      </c>
      <c r="D245">
        <v>3498.3273786171098</v>
      </c>
      <c r="E245">
        <v>24</v>
      </c>
      <c r="F245">
        <v>24</v>
      </c>
      <c r="K245">
        <v>0.56803579794065395</v>
      </c>
      <c r="L245">
        <v>2.0785304591466902</v>
      </c>
      <c r="M245">
        <v>0.25569052975967199</v>
      </c>
      <c r="N245">
        <v>5059</v>
      </c>
      <c r="T245">
        <v>2395752</v>
      </c>
    </row>
    <row r="246" spans="1:20" x14ac:dyDescent="0.3">
      <c r="A246" s="1">
        <v>45458</v>
      </c>
      <c r="B246">
        <v>80</v>
      </c>
      <c r="C246">
        <v>1786.50974233227</v>
      </c>
      <c r="D246">
        <v>3483.6816506936202</v>
      </c>
      <c r="E246">
        <v>27</v>
      </c>
      <c r="F246">
        <v>27</v>
      </c>
      <c r="K246">
        <v>0.55228609515423999</v>
      </c>
      <c r="L246">
        <v>2.05295284259797</v>
      </c>
      <c r="M246">
        <v>0.24995629124588301</v>
      </c>
      <c r="N246">
        <v>5279</v>
      </c>
      <c r="R246">
        <v>798106</v>
      </c>
      <c r="T246">
        <v>3104863</v>
      </c>
    </row>
    <row r="247" spans="1:20" x14ac:dyDescent="0.3">
      <c r="A247" s="1">
        <v>45459</v>
      </c>
      <c r="B247">
        <v>46</v>
      </c>
      <c r="C247">
        <v>1727.7719130005701</v>
      </c>
      <c r="D247">
        <v>418.49368921828398</v>
      </c>
      <c r="E247">
        <v>38</v>
      </c>
      <c r="F247">
        <v>38</v>
      </c>
      <c r="K247">
        <v>0.43070096781507899</v>
      </c>
      <c r="L247">
        <v>1.65086302357825</v>
      </c>
      <c r="M247">
        <v>0.32623248410219102</v>
      </c>
      <c r="N247">
        <v>755</v>
      </c>
      <c r="R247">
        <v>2322383</v>
      </c>
      <c r="T247">
        <v>421014</v>
      </c>
    </row>
    <row r="248" spans="1:20" x14ac:dyDescent="0.3">
      <c r="A248" s="1">
        <v>45460</v>
      </c>
      <c r="B248">
        <v>6</v>
      </c>
      <c r="C248">
        <v>1593.3542784577501</v>
      </c>
      <c r="D248">
        <v>372.21920192872301</v>
      </c>
      <c r="K248">
        <v>0.90979106511387497</v>
      </c>
      <c r="L248">
        <v>1.44380757271265</v>
      </c>
      <c r="M248">
        <v>0.275232538102889</v>
      </c>
      <c r="N248">
        <v>667</v>
      </c>
      <c r="T248">
        <v>494995</v>
      </c>
    </row>
    <row r="249" spans="1:20" x14ac:dyDescent="0.3">
      <c r="A249" s="1">
        <v>45461</v>
      </c>
      <c r="B249">
        <v>177</v>
      </c>
      <c r="C249">
        <v>2129.3755129456799</v>
      </c>
      <c r="D249">
        <v>4408.8097044691103</v>
      </c>
      <c r="E249">
        <v>108</v>
      </c>
      <c r="F249">
        <v>108</v>
      </c>
      <c r="K249">
        <v>0.57220892764327902</v>
      </c>
      <c r="L249">
        <v>1.49261187370778</v>
      </c>
      <c r="M249">
        <v>0.25908590195577602</v>
      </c>
      <c r="N249">
        <v>6716</v>
      </c>
      <c r="R249">
        <v>5634090</v>
      </c>
      <c r="T249">
        <v>4079849</v>
      </c>
    </row>
    <row r="250" spans="1:20" x14ac:dyDescent="0.3">
      <c r="A250" s="1">
        <v>45462</v>
      </c>
      <c r="B250">
        <v>79</v>
      </c>
      <c r="C250">
        <v>1818.78196546717</v>
      </c>
      <c r="D250">
        <v>2203.0991854932299</v>
      </c>
      <c r="E250">
        <v>48</v>
      </c>
      <c r="F250">
        <v>48</v>
      </c>
      <c r="K250">
        <v>0.50916239858155798</v>
      </c>
      <c r="L250">
        <v>1.49402766228213</v>
      </c>
      <c r="M250">
        <v>0.28273483271525301</v>
      </c>
      <c r="N250">
        <v>3316</v>
      </c>
      <c r="R250">
        <v>2335480</v>
      </c>
      <c r="T250">
        <v>2038977</v>
      </c>
    </row>
    <row r="251" spans="1:20" x14ac:dyDescent="0.3">
      <c r="A251" s="1">
        <v>45463</v>
      </c>
      <c r="B251">
        <v>8</v>
      </c>
      <c r="C251">
        <v>1569.5212286603</v>
      </c>
      <c r="D251">
        <v>234.234934487944</v>
      </c>
      <c r="K251">
        <v>0.40149622365372001</v>
      </c>
      <c r="L251">
        <v>0.57764567916333698</v>
      </c>
      <c r="M251">
        <v>0.32623249540238702</v>
      </c>
      <c r="N251">
        <v>492</v>
      </c>
      <c r="T251">
        <v>67625</v>
      </c>
    </row>
    <row r="252" spans="1:20" x14ac:dyDescent="0.3">
      <c r="A252" s="1">
        <v>45464</v>
      </c>
      <c r="B252">
        <v>15</v>
      </c>
      <c r="C252">
        <v>1643.2844837845801</v>
      </c>
      <c r="D252">
        <v>919.78128330573497</v>
      </c>
      <c r="E252">
        <v>5</v>
      </c>
      <c r="F252">
        <v>5</v>
      </c>
      <c r="K252">
        <v>0.44042975559301001</v>
      </c>
      <c r="L252">
        <v>1.5181906368264</v>
      </c>
      <c r="M252">
        <v>0.25011158278656997</v>
      </c>
      <c r="N252">
        <v>1562</v>
      </c>
      <c r="T252">
        <v>1390336</v>
      </c>
    </row>
    <row r="253" spans="1:20" x14ac:dyDescent="0.3">
      <c r="A253" s="1">
        <v>45465</v>
      </c>
      <c r="B253">
        <v>110</v>
      </c>
      <c r="C253">
        <v>1933.80810768229</v>
      </c>
      <c r="D253">
        <v>840.807716825998</v>
      </c>
      <c r="E253">
        <v>88</v>
      </c>
      <c r="F253">
        <v>88</v>
      </c>
      <c r="K253">
        <v>0.35173457371995098</v>
      </c>
      <c r="L253">
        <v>1.28136667546681</v>
      </c>
      <c r="M253">
        <v>0.271860416072358</v>
      </c>
      <c r="N253">
        <v>1362</v>
      </c>
      <c r="R253">
        <v>5378678</v>
      </c>
      <c r="T253">
        <v>846193</v>
      </c>
    </row>
    <row r="254" spans="1:20" x14ac:dyDescent="0.3">
      <c r="A254" s="1">
        <v>45466</v>
      </c>
      <c r="B254">
        <v>5</v>
      </c>
      <c r="C254">
        <v>1568.54921364294</v>
      </c>
      <c r="D254">
        <v>181.41159711492799</v>
      </c>
      <c r="K254">
        <v>0.30457352817893202</v>
      </c>
      <c r="L254">
        <v>1.04313898668061</v>
      </c>
      <c r="M254">
        <v>0.26098599942946399</v>
      </c>
      <c r="N254">
        <v>384</v>
      </c>
      <c r="T254">
        <v>50195</v>
      </c>
    </row>
    <row r="255" spans="1:20" x14ac:dyDescent="0.3">
      <c r="A255" s="1">
        <v>45467</v>
      </c>
      <c r="B255">
        <v>133</v>
      </c>
      <c r="C255">
        <v>2058.0022179194998</v>
      </c>
      <c r="D255">
        <v>927.44802316463904</v>
      </c>
      <c r="E255">
        <v>111</v>
      </c>
      <c r="F255">
        <v>111</v>
      </c>
      <c r="K255">
        <v>0.41641046715764801</v>
      </c>
      <c r="L255">
        <v>1.10433315288365</v>
      </c>
      <c r="M255">
        <v>0.25011158278656997</v>
      </c>
      <c r="N255">
        <v>1452</v>
      </c>
      <c r="R255">
        <v>6822802</v>
      </c>
      <c r="T255">
        <v>1528390</v>
      </c>
    </row>
    <row r="256" spans="1:20" x14ac:dyDescent="0.3">
      <c r="A256" s="1">
        <v>45468</v>
      </c>
      <c r="B256">
        <v>89</v>
      </c>
      <c r="C256">
        <v>1875.43763860532</v>
      </c>
      <c r="D256">
        <v>1298.0586869214701</v>
      </c>
      <c r="E256">
        <v>66</v>
      </c>
      <c r="F256">
        <v>66</v>
      </c>
      <c r="K256">
        <v>0.43771520956410398</v>
      </c>
      <c r="L256">
        <v>1.4197964795339499</v>
      </c>
      <c r="M256">
        <v>0.27818258447421601</v>
      </c>
      <c r="N256">
        <v>2008</v>
      </c>
      <c r="R256">
        <v>3981273</v>
      </c>
      <c r="T256">
        <v>1294357</v>
      </c>
    </row>
    <row r="257" spans="1:20" x14ac:dyDescent="0.3">
      <c r="A257" s="1">
        <v>45469</v>
      </c>
      <c r="B257">
        <v>111</v>
      </c>
      <c r="C257">
        <v>1920.1228693103401</v>
      </c>
      <c r="D257">
        <v>2426.3194856718101</v>
      </c>
      <c r="E257">
        <v>73</v>
      </c>
      <c r="F257">
        <v>73</v>
      </c>
      <c r="K257">
        <v>0.56151638998212305</v>
      </c>
      <c r="L257">
        <v>1.7201513736927401</v>
      </c>
      <c r="M257">
        <v>0.27631336854930899</v>
      </c>
      <c r="N257">
        <v>3658</v>
      </c>
      <c r="R257">
        <v>4098049</v>
      </c>
      <c r="T257">
        <v>1960547</v>
      </c>
    </row>
    <row r="258" spans="1:20" x14ac:dyDescent="0.3">
      <c r="A258" s="1">
        <v>45470</v>
      </c>
      <c r="B258">
        <v>53</v>
      </c>
      <c r="C258">
        <v>1694.0913055056101</v>
      </c>
      <c r="D258">
        <v>2692.95203377294</v>
      </c>
      <c r="E258">
        <v>10</v>
      </c>
      <c r="F258">
        <v>10</v>
      </c>
      <c r="K258">
        <v>0.372207335716087</v>
      </c>
      <c r="L258">
        <v>1.4431233662093399</v>
      </c>
      <c r="M258">
        <v>0.25011158278656997</v>
      </c>
      <c r="N258">
        <v>4313</v>
      </c>
      <c r="T258">
        <v>2301394</v>
      </c>
    </row>
    <row r="259" spans="1:20" x14ac:dyDescent="0.3">
      <c r="A259" s="1">
        <v>45471</v>
      </c>
      <c r="B259">
        <v>138</v>
      </c>
      <c r="C259">
        <v>2001.96364351069</v>
      </c>
      <c r="D259">
        <v>7100.21299763775</v>
      </c>
      <c r="E259">
        <v>31</v>
      </c>
      <c r="F259">
        <v>31</v>
      </c>
      <c r="K259">
        <v>0.61912938533199202</v>
      </c>
      <c r="L259">
        <v>1.5523907215610799</v>
      </c>
      <c r="M259">
        <v>0.25011158278656997</v>
      </c>
      <c r="N259">
        <v>10850</v>
      </c>
      <c r="T259">
        <v>7822107</v>
      </c>
    </row>
    <row r="260" spans="1:20" x14ac:dyDescent="0.3">
      <c r="A260" s="1">
        <v>45472</v>
      </c>
      <c r="B260">
        <v>103</v>
      </c>
      <c r="C260">
        <v>1786.76516592897</v>
      </c>
      <c r="D260">
        <v>4675.5164190178202</v>
      </c>
      <c r="E260">
        <v>15</v>
      </c>
      <c r="F260">
        <v>15</v>
      </c>
      <c r="K260">
        <v>0.51757577668002097</v>
      </c>
      <c r="L260">
        <v>1.49346591161522</v>
      </c>
      <c r="M260">
        <v>0.25011158278656997</v>
      </c>
      <c r="N260">
        <v>7301</v>
      </c>
      <c r="T260">
        <v>3963205</v>
      </c>
    </row>
    <row r="261" spans="1:20" x14ac:dyDescent="0.3">
      <c r="A261" s="1">
        <v>45473</v>
      </c>
      <c r="B261">
        <v>51</v>
      </c>
      <c r="C261">
        <v>1718.3295295819801</v>
      </c>
      <c r="D261">
        <v>2500.0001982173999</v>
      </c>
      <c r="E261">
        <v>12</v>
      </c>
      <c r="F261">
        <v>12</v>
      </c>
      <c r="K261">
        <v>0.44936414161745403</v>
      </c>
      <c r="L261">
        <v>1.5251795817538401</v>
      </c>
      <c r="M261">
        <v>0.26098599942946399</v>
      </c>
      <c r="N261">
        <v>3899</v>
      </c>
      <c r="T261">
        <v>2736028</v>
      </c>
    </row>
    <row r="262" spans="1:20" x14ac:dyDescent="0.3">
      <c r="A262" s="1">
        <v>45474</v>
      </c>
      <c r="B262">
        <v>115</v>
      </c>
      <c r="C262">
        <v>1842.43304282742</v>
      </c>
      <c r="D262">
        <v>4510.9504291521698</v>
      </c>
      <c r="E262">
        <v>31</v>
      </c>
      <c r="F262">
        <v>31</v>
      </c>
      <c r="K262">
        <v>0.54388999257455295</v>
      </c>
      <c r="L262">
        <v>1.43297172062096</v>
      </c>
      <c r="M262">
        <v>0.25011158278656997</v>
      </c>
      <c r="N262">
        <v>7100</v>
      </c>
      <c r="R262">
        <v>1061538</v>
      </c>
      <c r="T262">
        <v>3825867</v>
      </c>
    </row>
    <row r="263" spans="1:20" x14ac:dyDescent="0.3">
      <c r="A263" s="1">
        <v>45475</v>
      </c>
      <c r="B263">
        <v>38</v>
      </c>
      <c r="C263">
        <v>1637.8725903868001</v>
      </c>
      <c r="D263">
        <v>1661.0033071226301</v>
      </c>
      <c r="E263">
        <v>1</v>
      </c>
      <c r="F263">
        <v>1</v>
      </c>
      <c r="K263">
        <v>0.381187855487503</v>
      </c>
      <c r="L263">
        <v>1.50266185641066</v>
      </c>
      <c r="M263">
        <v>0.25011158278656997</v>
      </c>
      <c r="N263">
        <v>2921</v>
      </c>
      <c r="T263">
        <v>1293290</v>
      </c>
    </row>
    <row r="264" spans="1:20" x14ac:dyDescent="0.3">
      <c r="A264" s="1">
        <v>45476</v>
      </c>
      <c r="B264">
        <v>17</v>
      </c>
      <c r="C264">
        <v>1624.8389950073199</v>
      </c>
      <c r="D264">
        <v>754.45993213380405</v>
      </c>
      <c r="K264">
        <v>0.468595477379808</v>
      </c>
      <c r="L264">
        <v>1.2037549466925599</v>
      </c>
      <c r="M264">
        <v>0.25011158278656997</v>
      </c>
      <c r="N264">
        <v>1642</v>
      </c>
      <c r="T264">
        <v>1059572</v>
      </c>
    </row>
    <row r="265" spans="1:20" x14ac:dyDescent="0.3">
      <c r="A265" s="1">
        <v>45477</v>
      </c>
      <c r="B265">
        <v>33</v>
      </c>
      <c r="C265">
        <v>1670.57058261574</v>
      </c>
      <c r="D265">
        <v>1393.1194458521099</v>
      </c>
      <c r="K265">
        <v>0.44520545784473903</v>
      </c>
      <c r="L265">
        <v>1.4622795518818099</v>
      </c>
      <c r="M265">
        <v>0.26098599942946399</v>
      </c>
      <c r="N265">
        <v>2599</v>
      </c>
      <c r="T265">
        <v>1879624</v>
      </c>
    </row>
    <row r="266" spans="1:20" x14ac:dyDescent="0.3">
      <c r="A266" s="1">
        <v>45478</v>
      </c>
      <c r="B266">
        <v>93</v>
      </c>
      <c r="C266">
        <v>1762.4120013745301</v>
      </c>
      <c r="D266">
        <v>5258.3374334721302</v>
      </c>
      <c r="E266">
        <v>24</v>
      </c>
      <c r="F266">
        <v>24</v>
      </c>
      <c r="K266">
        <v>0.56104857586808399</v>
      </c>
      <c r="L266">
        <v>1.60040463294577</v>
      </c>
      <c r="M266">
        <v>0.25011158278656997</v>
      </c>
      <c r="N266">
        <v>7851</v>
      </c>
      <c r="T266">
        <v>3526509</v>
      </c>
    </row>
    <row r="267" spans="1:20" x14ac:dyDescent="0.3">
      <c r="A267" s="1">
        <v>45479</v>
      </c>
      <c r="B267">
        <v>122</v>
      </c>
      <c r="C267">
        <v>1908.32938997473</v>
      </c>
      <c r="D267">
        <v>5665.0280359716098</v>
      </c>
      <c r="E267">
        <v>65</v>
      </c>
      <c r="F267">
        <v>65</v>
      </c>
      <c r="K267">
        <v>0.51051068692887802</v>
      </c>
      <c r="L267">
        <v>1.50065187532716</v>
      </c>
      <c r="M267">
        <v>0.25011158278656997</v>
      </c>
      <c r="N267">
        <v>8340</v>
      </c>
      <c r="R267">
        <v>1817423</v>
      </c>
      <c r="T267">
        <v>4198913</v>
      </c>
    </row>
    <row r="268" spans="1:20" x14ac:dyDescent="0.3">
      <c r="A268" s="1">
        <v>45480</v>
      </c>
      <c r="B268">
        <v>30</v>
      </c>
      <c r="C268">
        <v>1600.4515495543901</v>
      </c>
      <c r="D268">
        <v>1080.80874393251</v>
      </c>
      <c r="K268">
        <v>0.364080017898046</v>
      </c>
      <c r="L268">
        <v>1.06384512393749</v>
      </c>
      <c r="M268">
        <v>0.26098599942946399</v>
      </c>
      <c r="N268">
        <v>1850</v>
      </c>
      <c r="T268">
        <v>622262</v>
      </c>
    </row>
    <row r="269" spans="1:20" x14ac:dyDescent="0.3">
      <c r="A269" s="1">
        <v>45481</v>
      </c>
      <c r="B269">
        <v>102</v>
      </c>
      <c r="C269">
        <v>1787.4777816260801</v>
      </c>
      <c r="D269">
        <v>4810.5849150056101</v>
      </c>
      <c r="E269">
        <v>13</v>
      </c>
      <c r="F269">
        <v>13</v>
      </c>
      <c r="K269">
        <v>0.59936340689323997</v>
      </c>
      <c r="L269">
        <v>1.7895450440139999</v>
      </c>
      <c r="M269">
        <v>0.25011158278656997</v>
      </c>
      <c r="N269">
        <v>7615</v>
      </c>
      <c r="T269">
        <v>3975984</v>
      </c>
    </row>
    <row r="270" spans="1:20" x14ac:dyDescent="0.3">
      <c r="A270" s="1">
        <v>45482</v>
      </c>
      <c r="B270">
        <v>114</v>
      </c>
      <c r="C270">
        <v>1668.3925931767401</v>
      </c>
      <c r="D270">
        <v>4030.1773765233702</v>
      </c>
      <c r="E270">
        <v>2</v>
      </c>
      <c r="F270">
        <v>2</v>
      </c>
      <c r="K270">
        <v>0.42655429345553703</v>
      </c>
      <c r="L270">
        <v>1.4157204030158399</v>
      </c>
      <c r="M270">
        <v>0.26098599942946399</v>
      </c>
      <c r="N270">
        <v>6430</v>
      </c>
      <c r="T270">
        <v>1840569</v>
      </c>
    </row>
    <row r="271" spans="1:20" x14ac:dyDescent="0.3">
      <c r="A271" s="1">
        <v>45483</v>
      </c>
      <c r="B271">
        <v>114</v>
      </c>
      <c r="C271">
        <v>1715.90225961428</v>
      </c>
      <c r="D271">
        <v>4111.4410803150404</v>
      </c>
      <c r="E271">
        <v>2</v>
      </c>
      <c r="F271">
        <v>2</v>
      </c>
      <c r="K271">
        <v>0.549555915578962</v>
      </c>
      <c r="L271">
        <v>1.6224300140524901</v>
      </c>
      <c r="M271">
        <v>0.26098599942946399</v>
      </c>
      <c r="N271">
        <v>6673</v>
      </c>
      <c r="T271">
        <v>2692505</v>
      </c>
    </row>
    <row r="272" spans="1:20" x14ac:dyDescent="0.3">
      <c r="A272" s="1">
        <v>45484</v>
      </c>
      <c r="B272">
        <v>117</v>
      </c>
      <c r="C272">
        <v>1874.89533479593</v>
      </c>
      <c r="D272">
        <v>6315.0247003993099</v>
      </c>
      <c r="E272">
        <v>31</v>
      </c>
      <c r="F272">
        <v>31</v>
      </c>
      <c r="K272">
        <v>0.63116036402317699</v>
      </c>
      <c r="L272">
        <v>1.5571797397400899</v>
      </c>
      <c r="M272">
        <v>0.25011158278656997</v>
      </c>
      <c r="N272">
        <v>9671</v>
      </c>
      <c r="T272">
        <v>5543541</v>
      </c>
    </row>
    <row r="273" spans="1:20" x14ac:dyDescent="0.3">
      <c r="A273" s="1">
        <v>45485</v>
      </c>
      <c r="B273">
        <v>84</v>
      </c>
      <c r="C273">
        <v>1689.1020299204199</v>
      </c>
      <c r="D273">
        <v>2756.0395721597401</v>
      </c>
      <c r="E273">
        <v>1</v>
      </c>
      <c r="F273">
        <v>1</v>
      </c>
      <c r="K273">
        <v>0.373689537157884</v>
      </c>
      <c r="L273">
        <v>1.4054734028747999</v>
      </c>
      <c r="M273">
        <v>0.24565578803888499</v>
      </c>
      <c r="N273">
        <v>4475</v>
      </c>
      <c r="T273">
        <v>2211929</v>
      </c>
    </row>
    <row r="274" spans="1:20" x14ac:dyDescent="0.3">
      <c r="A274" s="1">
        <v>45486</v>
      </c>
      <c r="B274">
        <v>14</v>
      </c>
      <c r="C274">
        <v>1596.8768988020799</v>
      </c>
      <c r="D274">
        <v>574.65949357971897</v>
      </c>
      <c r="E274">
        <v>1</v>
      </c>
      <c r="F274">
        <v>1</v>
      </c>
      <c r="K274">
        <v>0.43394040399846601</v>
      </c>
      <c r="L274">
        <v>1.3044024458152499</v>
      </c>
      <c r="M274">
        <v>0.315358082643936</v>
      </c>
      <c r="N274">
        <v>1042</v>
      </c>
      <c r="T274">
        <v>558162</v>
      </c>
    </row>
    <row r="275" spans="1:20" x14ac:dyDescent="0.3">
      <c r="A275" s="1">
        <v>45487</v>
      </c>
      <c r="B275">
        <v>99</v>
      </c>
      <c r="C275">
        <v>1814.68535419009</v>
      </c>
      <c r="D275">
        <v>4594.1712669053104</v>
      </c>
      <c r="E275">
        <v>18</v>
      </c>
      <c r="F275">
        <v>13</v>
      </c>
      <c r="K275">
        <v>0.395861328457349</v>
      </c>
      <c r="L275">
        <v>2.09138971371886</v>
      </c>
      <c r="M275">
        <v>0.25009689713232303</v>
      </c>
      <c r="N275">
        <v>7042</v>
      </c>
      <c r="T275">
        <v>4449425</v>
      </c>
    </row>
    <row r="276" spans="1:20" x14ac:dyDescent="0.3">
      <c r="A276" s="1">
        <v>45488</v>
      </c>
      <c r="B276">
        <v>30</v>
      </c>
      <c r="C276">
        <v>1600.38115481861</v>
      </c>
      <c r="D276">
        <v>1200.5172536157099</v>
      </c>
      <c r="E276">
        <v>2</v>
      </c>
      <c r="F276">
        <v>2</v>
      </c>
      <c r="K276">
        <v>0.44758486343429299</v>
      </c>
      <c r="L276">
        <v>1.2967489986315801</v>
      </c>
      <c r="M276">
        <v>0.25011158278656997</v>
      </c>
      <c r="N276">
        <v>2110</v>
      </c>
      <c r="T276">
        <v>621001</v>
      </c>
    </row>
    <row r="277" spans="1:20" x14ac:dyDescent="0.3">
      <c r="A277" s="1">
        <v>45489</v>
      </c>
      <c r="B277">
        <v>143</v>
      </c>
      <c r="C277">
        <v>1957.01100517488</v>
      </c>
      <c r="D277">
        <v>7655.7168545652003</v>
      </c>
      <c r="E277">
        <v>42</v>
      </c>
      <c r="F277">
        <v>42</v>
      </c>
      <c r="K277">
        <v>0.60306777156570801</v>
      </c>
      <c r="L277">
        <v>1.4491295122241299</v>
      </c>
      <c r="M277">
        <v>0.25097810747585098</v>
      </c>
      <c r="N277">
        <v>11459</v>
      </c>
      <c r="T277">
        <v>7016024</v>
      </c>
    </row>
    <row r="278" spans="1:20" x14ac:dyDescent="0.3">
      <c r="A278" s="1">
        <v>45490</v>
      </c>
      <c r="B278">
        <v>84</v>
      </c>
      <c r="C278">
        <v>1817.7157576990401</v>
      </c>
      <c r="D278">
        <v>4083.0503277441398</v>
      </c>
      <c r="E278">
        <v>18</v>
      </c>
      <c r="F278">
        <v>18</v>
      </c>
      <c r="K278">
        <v>0.41306990660223902</v>
      </c>
      <c r="L278">
        <v>1.97601684125823</v>
      </c>
      <c r="M278">
        <v>0.26453298175179502</v>
      </c>
      <c r="N278">
        <v>6091</v>
      </c>
      <c r="T278">
        <v>4518205</v>
      </c>
    </row>
    <row r="279" spans="1:20" x14ac:dyDescent="0.3">
      <c r="A279" s="1">
        <v>45491</v>
      </c>
      <c r="B279">
        <v>10</v>
      </c>
      <c r="C279">
        <v>1619.3279811283201</v>
      </c>
      <c r="D279">
        <v>521.16517549524599</v>
      </c>
      <c r="K279">
        <v>0.69052706409687803</v>
      </c>
      <c r="L279">
        <v>1.32797867794749</v>
      </c>
      <c r="M279">
        <v>0.30448366600104099</v>
      </c>
      <c r="N279">
        <v>984</v>
      </c>
      <c r="T279">
        <v>960751</v>
      </c>
    </row>
    <row r="280" spans="1:20" x14ac:dyDescent="0.3">
      <c r="A280" s="1">
        <v>45492</v>
      </c>
      <c r="B280">
        <v>84</v>
      </c>
      <c r="C280">
        <v>1852.61706127604</v>
      </c>
      <c r="D280">
        <v>4653.8350955036803</v>
      </c>
      <c r="E280">
        <v>18</v>
      </c>
      <c r="F280">
        <v>15</v>
      </c>
      <c r="K280">
        <v>0.47553025732245102</v>
      </c>
      <c r="L280">
        <v>2.9484963348452</v>
      </c>
      <c r="M280">
        <v>0.25011158278656997</v>
      </c>
      <c r="N280">
        <v>7098</v>
      </c>
      <c r="T280">
        <v>5144049</v>
      </c>
    </row>
    <row r="281" spans="1:20" x14ac:dyDescent="0.3">
      <c r="A281" s="1">
        <v>45493</v>
      </c>
      <c r="B281">
        <v>31</v>
      </c>
      <c r="C281">
        <v>1602.0795721274801</v>
      </c>
      <c r="D281">
        <v>1191.4232991926599</v>
      </c>
      <c r="K281">
        <v>0.39804787163027699</v>
      </c>
      <c r="L281">
        <v>0.91633297383082701</v>
      </c>
      <c r="M281">
        <v>0.25011158278656997</v>
      </c>
      <c r="N281">
        <v>2370</v>
      </c>
      <c r="T281">
        <v>651455</v>
      </c>
    </row>
    <row r="282" spans="1:20" x14ac:dyDescent="0.3">
      <c r="A282" s="1">
        <v>45494</v>
      </c>
      <c r="B282">
        <v>96</v>
      </c>
      <c r="C282">
        <v>1819.97739111635</v>
      </c>
      <c r="D282">
        <v>4066.7811267929801</v>
      </c>
      <c r="E282">
        <v>9</v>
      </c>
      <c r="F282">
        <v>9</v>
      </c>
      <c r="K282">
        <v>0.44325665974263601</v>
      </c>
      <c r="L282">
        <v>1.6792616476429501</v>
      </c>
      <c r="M282">
        <v>0.25011158278656997</v>
      </c>
      <c r="N282">
        <v>6267</v>
      </c>
      <c r="T282">
        <v>4558760</v>
      </c>
    </row>
    <row r="283" spans="1:20" x14ac:dyDescent="0.3">
      <c r="A283" s="1">
        <v>45495</v>
      </c>
      <c r="B283">
        <v>20</v>
      </c>
      <c r="C283">
        <v>1619.9681881220899</v>
      </c>
      <c r="D283">
        <v>738.97585101284403</v>
      </c>
      <c r="K283">
        <v>0.34354586464174203</v>
      </c>
      <c r="L283">
        <v>1.1779784653074299</v>
      </c>
      <c r="M283">
        <v>0.28637563177553099</v>
      </c>
      <c r="N283">
        <v>1401</v>
      </c>
      <c r="T283">
        <v>972231</v>
      </c>
    </row>
    <row r="284" spans="1:20" x14ac:dyDescent="0.3">
      <c r="A284" s="1">
        <v>45496</v>
      </c>
      <c r="B284">
        <v>18</v>
      </c>
      <c r="C284">
        <v>1638.59216486589</v>
      </c>
      <c r="D284">
        <v>829.41575526775102</v>
      </c>
      <c r="K284">
        <v>0.51718807044204496</v>
      </c>
      <c r="L284">
        <v>1.0897922890146601</v>
      </c>
      <c r="M284">
        <v>0.24565350570465699</v>
      </c>
      <c r="N284">
        <v>1546</v>
      </c>
      <c r="T284">
        <v>1306193</v>
      </c>
    </row>
    <row r="285" spans="1:20" x14ac:dyDescent="0.3">
      <c r="A285" s="1">
        <v>45497</v>
      </c>
      <c r="B285">
        <v>42</v>
      </c>
      <c r="C285">
        <v>1623.1658985072399</v>
      </c>
      <c r="D285">
        <v>1306.6328182869099</v>
      </c>
      <c r="K285">
        <v>0.486242140283484</v>
      </c>
      <c r="L285">
        <v>1.1449087848303099</v>
      </c>
      <c r="M285">
        <v>0.25011158278656997</v>
      </c>
      <c r="N285">
        <v>2277</v>
      </c>
      <c r="T285">
        <v>1029572</v>
      </c>
    </row>
    <row r="286" spans="1:20" x14ac:dyDescent="0.3">
      <c r="A286" s="1">
        <v>45498</v>
      </c>
      <c r="B286">
        <v>32</v>
      </c>
      <c r="C286">
        <v>1666.08007399594</v>
      </c>
      <c r="D286">
        <v>1144.4340062495401</v>
      </c>
      <c r="K286">
        <v>0.38291315299402501</v>
      </c>
      <c r="L286">
        <v>1.0098631398982301</v>
      </c>
      <c r="M286">
        <v>0.25011158278656997</v>
      </c>
      <c r="N286">
        <v>1972</v>
      </c>
      <c r="T286">
        <v>1799101</v>
      </c>
    </row>
    <row r="287" spans="1:20" x14ac:dyDescent="0.3">
      <c r="A287" s="1">
        <v>45499</v>
      </c>
      <c r="B287">
        <v>71</v>
      </c>
      <c r="C287">
        <v>1705.5930791072101</v>
      </c>
      <c r="D287">
        <v>3482.2355279150902</v>
      </c>
      <c r="E287">
        <v>18</v>
      </c>
      <c r="F287">
        <v>18</v>
      </c>
      <c r="K287">
        <v>0.44168848165925301</v>
      </c>
      <c r="L287">
        <v>1.5816835910687701</v>
      </c>
      <c r="M287">
        <v>0.26098599942946399</v>
      </c>
      <c r="N287">
        <v>5205</v>
      </c>
      <c r="T287">
        <v>2507644</v>
      </c>
    </row>
    <row r="288" spans="1:20" x14ac:dyDescent="0.3">
      <c r="A288" s="1">
        <v>45500</v>
      </c>
      <c r="B288">
        <v>18</v>
      </c>
      <c r="C288">
        <v>1595.5566018647501</v>
      </c>
      <c r="D288">
        <v>718.10208645893601</v>
      </c>
      <c r="K288">
        <v>0.51318163416596896</v>
      </c>
      <c r="L288">
        <v>1.0799336316269501</v>
      </c>
      <c r="M288">
        <v>0.26098599942946399</v>
      </c>
      <c r="N288">
        <v>1287</v>
      </c>
      <c r="T288">
        <v>534487</v>
      </c>
    </row>
    <row r="289" spans="1:20" x14ac:dyDescent="0.3">
      <c r="A289" s="1">
        <v>45501</v>
      </c>
      <c r="B289">
        <v>12</v>
      </c>
      <c r="C289">
        <v>1671.7765544886599</v>
      </c>
      <c r="D289">
        <v>628.04386539008306</v>
      </c>
      <c r="K289">
        <v>0.39037911909030298</v>
      </c>
      <c r="L289">
        <v>1.12365480770457</v>
      </c>
      <c r="M289">
        <v>0.25011158278656997</v>
      </c>
      <c r="N289">
        <v>1183</v>
      </c>
      <c r="T289">
        <v>1901250</v>
      </c>
    </row>
    <row r="290" spans="1:20" x14ac:dyDescent="0.3">
      <c r="A290" s="1">
        <v>45502</v>
      </c>
      <c r="B290">
        <v>105</v>
      </c>
      <c r="C290">
        <v>1810.2657865271401</v>
      </c>
      <c r="D290">
        <v>5069.4501612061104</v>
      </c>
      <c r="E290">
        <v>16</v>
      </c>
      <c r="F290">
        <v>16</v>
      </c>
      <c r="K290">
        <v>0.66855924351604701</v>
      </c>
      <c r="L290">
        <v>1.5114284087658001</v>
      </c>
      <c r="M290">
        <v>0.25011158278656997</v>
      </c>
      <c r="N290">
        <v>7893</v>
      </c>
      <c r="T290">
        <v>4384615</v>
      </c>
    </row>
    <row r="291" spans="1:20" x14ac:dyDescent="0.3">
      <c r="A291" s="1">
        <v>45503</v>
      </c>
      <c r="B291">
        <v>84</v>
      </c>
      <c r="C291">
        <v>1718.14678743228</v>
      </c>
      <c r="D291">
        <v>2943.4211123074701</v>
      </c>
      <c r="E291">
        <v>13</v>
      </c>
      <c r="F291">
        <v>13</v>
      </c>
      <c r="K291">
        <v>0.46391904813951701</v>
      </c>
      <c r="L291">
        <v>1.83029157405792</v>
      </c>
      <c r="M291">
        <v>0.25011158278656997</v>
      </c>
      <c r="N291">
        <v>4773</v>
      </c>
      <c r="R291">
        <v>677822</v>
      </c>
      <c r="T291">
        <v>2007662</v>
      </c>
    </row>
    <row r="292" spans="1:20" x14ac:dyDescent="0.3">
      <c r="A292" s="1">
        <v>45504</v>
      </c>
      <c r="B292">
        <v>15</v>
      </c>
      <c r="C292">
        <v>1587.57779718662</v>
      </c>
      <c r="D292">
        <v>600.934265522288</v>
      </c>
      <c r="E292">
        <v>1</v>
      </c>
      <c r="F292">
        <v>1</v>
      </c>
      <c r="K292">
        <v>0.69715237753909498</v>
      </c>
      <c r="L292">
        <v>1.3021334161328699</v>
      </c>
      <c r="M292">
        <v>0.326232478407951</v>
      </c>
      <c r="N292">
        <v>968</v>
      </c>
      <c r="T292">
        <v>391413</v>
      </c>
    </row>
    <row r="293" spans="1:20" x14ac:dyDescent="0.3">
      <c r="A293" s="1">
        <v>45505</v>
      </c>
      <c r="B293">
        <v>148</v>
      </c>
      <c r="C293">
        <v>2064.2822223421099</v>
      </c>
      <c r="D293">
        <v>8822.8068063359497</v>
      </c>
      <c r="E293">
        <v>62</v>
      </c>
      <c r="F293">
        <v>62</v>
      </c>
      <c r="K293">
        <v>0.53933529127687896</v>
      </c>
      <c r="L293">
        <v>1.5235479106823</v>
      </c>
      <c r="M293">
        <v>0.26098599942946399</v>
      </c>
      <c r="N293">
        <v>13036</v>
      </c>
      <c r="T293">
        <v>8939592</v>
      </c>
    </row>
    <row r="294" spans="1:20" x14ac:dyDescent="0.3">
      <c r="A294" s="1">
        <v>45506</v>
      </c>
      <c r="B294">
        <v>149</v>
      </c>
      <c r="C294">
        <v>1994.6218493250001</v>
      </c>
      <c r="D294">
        <v>7676.4266168402801</v>
      </c>
      <c r="E294">
        <v>49</v>
      </c>
      <c r="F294">
        <v>49</v>
      </c>
      <c r="K294">
        <v>0.70543242869597</v>
      </c>
      <c r="L294">
        <v>1.8691670970632801</v>
      </c>
      <c r="M294">
        <v>0.26092254054535202</v>
      </c>
      <c r="N294">
        <v>11434</v>
      </c>
      <c r="T294">
        <v>7690455</v>
      </c>
    </row>
    <row r="295" spans="1:20" x14ac:dyDescent="0.3">
      <c r="A295" s="1">
        <v>45507</v>
      </c>
      <c r="B295">
        <v>94</v>
      </c>
      <c r="C295">
        <v>1842.92477816528</v>
      </c>
      <c r="D295">
        <v>5263.6722407967</v>
      </c>
      <c r="E295">
        <v>34</v>
      </c>
      <c r="F295">
        <v>34</v>
      </c>
      <c r="K295">
        <v>0.50500899746264405</v>
      </c>
      <c r="L295">
        <v>1.5357454797627099</v>
      </c>
      <c r="M295">
        <v>0.24947105649420201</v>
      </c>
      <c r="N295">
        <v>7679</v>
      </c>
      <c r="T295">
        <v>4970249</v>
      </c>
    </row>
    <row r="296" spans="1:20" x14ac:dyDescent="0.3">
      <c r="A296" s="1">
        <v>45508</v>
      </c>
      <c r="B296">
        <v>195</v>
      </c>
      <c r="C296">
        <v>2078.7590794102298</v>
      </c>
      <c r="D296">
        <v>9231.3043967505091</v>
      </c>
      <c r="E296">
        <v>43</v>
      </c>
      <c r="F296">
        <v>43</v>
      </c>
      <c r="K296">
        <v>0.73375394150039597</v>
      </c>
      <c r="L296">
        <v>1.74876665369523</v>
      </c>
      <c r="M296">
        <v>0.25011158278656997</v>
      </c>
      <c r="N296">
        <v>13755</v>
      </c>
      <c r="R296">
        <v>413747</v>
      </c>
      <c r="T296">
        <v>8756590</v>
      </c>
    </row>
    <row r="297" spans="1:20" x14ac:dyDescent="0.3">
      <c r="A297" s="1">
        <v>45509</v>
      </c>
      <c r="B297">
        <v>211</v>
      </c>
      <c r="C297">
        <v>2169.5754742792001</v>
      </c>
      <c r="D297">
        <v>10435.8058470658</v>
      </c>
      <c r="E297">
        <v>85</v>
      </c>
      <c r="F297">
        <v>85</v>
      </c>
      <c r="K297">
        <v>0.70557261907527602</v>
      </c>
      <c r="L297">
        <v>1.60290847014866</v>
      </c>
      <c r="M297">
        <v>0.25011158278656997</v>
      </c>
      <c r="N297">
        <v>15395</v>
      </c>
      <c r="R297">
        <v>801614</v>
      </c>
      <c r="T297">
        <v>9970179</v>
      </c>
    </row>
    <row r="298" spans="1:20" x14ac:dyDescent="0.3">
      <c r="A298" s="1">
        <v>45510</v>
      </c>
      <c r="B298">
        <v>136</v>
      </c>
      <c r="C298">
        <v>2019.64804860544</v>
      </c>
      <c r="D298">
        <v>2720.95269387699</v>
      </c>
      <c r="E298">
        <v>87</v>
      </c>
      <c r="F298">
        <v>87</v>
      </c>
      <c r="K298">
        <v>0.53480104458932798</v>
      </c>
      <c r="L298">
        <v>1.4196377041574999</v>
      </c>
      <c r="M298">
        <v>0.25011158278656997</v>
      </c>
      <c r="N298">
        <v>4075</v>
      </c>
      <c r="R298">
        <v>4846208</v>
      </c>
      <c r="T298">
        <v>2955062</v>
      </c>
    </row>
    <row r="299" spans="1:20" x14ac:dyDescent="0.3">
      <c r="A299" s="1">
        <v>45511</v>
      </c>
      <c r="B299">
        <v>2</v>
      </c>
      <c r="C299">
        <v>1580.8063062818201</v>
      </c>
      <c r="D299">
        <v>130.49299971473201</v>
      </c>
      <c r="K299">
        <v>0.30568836825110202</v>
      </c>
      <c r="L299">
        <v>0.32623248906044</v>
      </c>
      <c r="M299">
        <v>0.271860416072358</v>
      </c>
      <c r="N299">
        <v>314</v>
      </c>
      <c r="T299">
        <v>269987</v>
      </c>
    </row>
    <row r="300" spans="1:20" x14ac:dyDescent="0.3">
      <c r="A300" s="1">
        <v>45512</v>
      </c>
      <c r="B300">
        <v>72</v>
      </c>
      <c r="C300">
        <v>1786.24817567078</v>
      </c>
      <c r="D300">
        <v>6011.6760738638304</v>
      </c>
      <c r="E300">
        <v>73</v>
      </c>
      <c r="F300">
        <v>47</v>
      </c>
      <c r="K300">
        <v>0.54075968480473802</v>
      </c>
      <c r="L300">
        <v>2.2882111694973801</v>
      </c>
      <c r="M300">
        <v>0.29360924935814697</v>
      </c>
      <c r="N300">
        <v>7864</v>
      </c>
      <c r="T300">
        <v>3626331</v>
      </c>
    </row>
    <row r="301" spans="1:20" x14ac:dyDescent="0.3">
      <c r="A301" s="1">
        <v>45513</v>
      </c>
      <c r="B301">
        <v>145</v>
      </c>
      <c r="C301">
        <v>2004.9797868385999</v>
      </c>
      <c r="D301">
        <v>4938.4710734525997</v>
      </c>
      <c r="E301">
        <v>68</v>
      </c>
      <c r="F301">
        <v>68</v>
      </c>
      <c r="K301">
        <v>0.57499558765439596</v>
      </c>
      <c r="L301">
        <v>1.5115787732678201</v>
      </c>
      <c r="M301">
        <v>0.23551511936420699</v>
      </c>
      <c r="N301">
        <v>7371</v>
      </c>
      <c r="R301">
        <v>2770647</v>
      </c>
      <c r="T301">
        <v>4912332</v>
      </c>
    </row>
    <row r="302" spans="1:20" x14ac:dyDescent="0.3">
      <c r="A302" s="1">
        <v>45514</v>
      </c>
      <c r="B302">
        <v>159</v>
      </c>
      <c r="C302">
        <v>2060.1514963659101</v>
      </c>
      <c r="D302">
        <v>5004.4643509080997</v>
      </c>
      <c r="E302">
        <v>82</v>
      </c>
      <c r="F302">
        <v>82</v>
      </c>
      <c r="K302">
        <v>0.47592902809929799</v>
      </c>
      <c r="L302">
        <v>1.5678838352940501</v>
      </c>
      <c r="M302">
        <v>0.25011158278656997</v>
      </c>
      <c r="N302">
        <v>7616</v>
      </c>
      <c r="R302">
        <v>3637083</v>
      </c>
      <c r="T302">
        <v>4974804</v>
      </c>
    </row>
    <row r="303" spans="1:20" x14ac:dyDescent="0.3">
      <c r="A303" s="1">
        <v>45515</v>
      </c>
      <c r="B303">
        <v>74</v>
      </c>
      <c r="C303">
        <v>1780.3839477741001</v>
      </c>
      <c r="D303">
        <v>2132.4165162488698</v>
      </c>
      <c r="E303">
        <v>44</v>
      </c>
      <c r="F303">
        <v>44</v>
      </c>
      <c r="K303">
        <v>0.52386327970409596</v>
      </c>
      <c r="L303">
        <v>1.4367065498526901</v>
      </c>
      <c r="M303">
        <v>0.26975183701688199</v>
      </c>
      <c r="N303">
        <v>3418</v>
      </c>
      <c r="R303">
        <v>2075309</v>
      </c>
      <c r="T303">
        <v>1628748</v>
      </c>
    </row>
    <row r="304" spans="1:20" x14ac:dyDescent="0.3">
      <c r="A304" s="1">
        <v>45516</v>
      </c>
      <c r="B304">
        <v>142</v>
      </c>
      <c r="C304">
        <v>1927.97892611257</v>
      </c>
      <c r="D304">
        <v>5984.1076195775804</v>
      </c>
      <c r="E304">
        <v>58</v>
      </c>
      <c r="F304">
        <v>58</v>
      </c>
      <c r="K304">
        <v>0.517274626110512</v>
      </c>
      <c r="L304">
        <v>1.5704026830965501</v>
      </c>
      <c r="M304">
        <v>0.25011158278656997</v>
      </c>
      <c r="N304">
        <v>9299</v>
      </c>
      <c r="R304">
        <v>1973671</v>
      </c>
      <c r="T304">
        <v>4384118</v>
      </c>
    </row>
    <row r="305" spans="1:21" x14ac:dyDescent="0.3">
      <c r="A305" s="1">
        <v>45517</v>
      </c>
      <c r="B305">
        <v>138</v>
      </c>
      <c r="C305">
        <v>1943.3837879463099</v>
      </c>
      <c r="D305">
        <v>4627.4864534566696</v>
      </c>
      <c r="E305">
        <v>39</v>
      </c>
      <c r="F305">
        <v>39</v>
      </c>
      <c r="K305">
        <v>0.59707946362949704</v>
      </c>
      <c r="L305">
        <v>1.7454818308989</v>
      </c>
      <c r="M305">
        <v>0.25011158278656997</v>
      </c>
      <c r="N305">
        <v>7399</v>
      </c>
      <c r="R305">
        <v>1936583</v>
      </c>
      <c r="T305">
        <v>4700036</v>
      </c>
    </row>
    <row r="306" spans="1:21" x14ac:dyDescent="0.3">
      <c r="A306" s="1">
        <v>45518</v>
      </c>
      <c r="B306">
        <v>153</v>
      </c>
      <c r="C306">
        <v>1833.57268577371</v>
      </c>
      <c r="D306">
        <v>5941.1588333974996</v>
      </c>
      <c r="E306">
        <v>20</v>
      </c>
      <c r="F306">
        <v>20</v>
      </c>
      <c r="K306">
        <v>0.46665444128556999</v>
      </c>
      <c r="L306">
        <v>1.7315446034719899</v>
      </c>
      <c r="M306">
        <v>0.25011158278656997</v>
      </c>
      <c r="N306">
        <v>9021</v>
      </c>
      <c r="T306">
        <v>4802550</v>
      </c>
    </row>
    <row r="307" spans="1:21" x14ac:dyDescent="0.3">
      <c r="A307" s="1">
        <v>45519</v>
      </c>
      <c r="B307">
        <v>56</v>
      </c>
      <c r="C307">
        <v>1701.6167409304201</v>
      </c>
      <c r="D307">
        <v>2432.2545246565201</v>
      </c>
      <c r="E307">
        <v>21</v>
      </c>
      <c r="F307">
        <v>21</v>
      </c>
      <c r="K307">
        <v>0.532374352622076</v>
      </c>
      <c r="L307">
        <v>1.3882491958029599</v>
      </c>
      <c r="M307">
        <v>0.29360924935814697</v>
      </c>
      <c r="N307">
        <v>3641</v>
      </c>
      <c r="R307">
        <v>546820</v>
      </c>
      <c r="T307">
        <v>1851386</v>
      </c>
    </row>
    <row r="308" spans="1:21" x14ac:dyDescent="0.3">
      <c r="A308" s="1">
        <v>45520</v>
      </c>
      <c r="B308">
        <v>165</v>
      </c>
      <c r="C308">
        <v>2074.1170331594199</v>
      </c>
      <c r="D308">
        <v>5976.2830379432799</v>
      </c>
      <c r="E308">
        <v>89</v>
      </c>
      <c r="F308">
        <v>89</v>
      </c>
      <c r="K308">
        <v>0.56312852110464795</v>
      </c>
      <c r="L308">
        <v>1.4247688554521301</v>
      </c>
      <c r="M308">
        <v>0.25640984563242197</v>
      </c>
      <c r="N308">
        <v>8953</v>
      </c>
      <c r="R308">
        <v>3429135</v>
      </c>
      <c r="T308">
        <v>5447683</v>
      </c>
    </row>
    <row r="309" spans="1:21" x14ac:dyDescent="0.3">
      <c r="A309" s="1">
        <v>45521</v>
      </c>
      <c r="B309">
        <v>85</v>
      </c>
      <c r="C309">
        <v>1804.0504331080599</v>
      </c>
      <c r="D309">
        <v>4439.3987293977898</v>
      </c>
      <c r="E309">
        <v>18</v>
      </c>
      <c r="F309">
        <v>18</v>
      </c>
      <c r="K309">
        <v>0.53462644246956903</v>
      </c>
      <c r="L309">
        <v>1.5268284310986</v>
      </c>
      <c r="M309">
        <v>0.28273483271525301</v>
      </c>
      <c r="N309">
        <v>6732</v>
      </c>
      <c r="T309">
        <v>3852531</v>
      </c>
      <c r="U309">
        <v>183674</v>
      </c>
    </row>
    <row r="310" spans="1:21" x14ac:dyDescent="0.3">
      <c r="A310" s="1">
        <v>45522</v>
      </c>
      <c r="B310">
        <v>134</v>
      </c>
      <c r="C310">
        <v>1975.83950751097</v>
      </c>
      <c r="D310">
        <v>4363.2458769897803</v>
      </c>
      <c r="E310">
        <v>58</v>
      </c>
      <c r="F310">
        <v>58</v>
      </c>
      <c r="K310">
        <v>0.53505338201149899</v>
      </c>
      <c r="L310">
        <v>1.5851051519155099</v>
      </c>
      <c r="M310">
        <v>0.27007720416099301</v>
      </c>
      <c r="N310">
        <v>6485</v>
      </c>
      <c r="R310">
        <v>2502478</v>
      </c>
      <c r="T310">
        <v>4676662</v>
      </c>
    </row>
    <row r="311" spans="1:21" x14ac:dyDescent="0.3">
      <c r="A311" s="1">
        <v>45523</v>
      </c>
      <c r="B311">
        <v>132</v>
      </c>
      <c r="C311">
        <v>1920.3059393328299</v>
      </c>
      <c r="D311">
        <v>3707.1267109025998</v>
      </c>
      <c r="E311">
        <v>47</v>
      </c>
      <c r="F311">
        <v>47</v>
      </c>
      <c r="K311">
        <v>0.48008223782077403</v>
      </c>
      <c r="L311">
        <v>1.2514167553389799</v>
      </c>
      <c r="M311">
        <v>0.25409148062502002</v>
      </c>
      <c r="N311">
        <v>5893</v>
      </c>
      <c r="R311">
        <v>2685512</v>
      </c>
      <c r="T311">
        <v>3485048</v>
      </c>
    </row>
    <row r="312" spans="1:21" x14ac:dyDescent="0.3">
      <c r="A312" s="1">
        <v>45524</v>
      </c>
      <c r="B312">
        <v>152</v>
      </c>
      <c r="C312">
        <v>2032.41423345775</v>
      </c>
      <c r="D312">
        <v>3282.8536254228702</v>
      </c>
      <c r="E312">
        <v>76</v>
      </c>
      <c r="F312">
        <v>76</v>
      </c>
      <c r="K312">
        <v>0.53625247665437004</v>
      </c>
      <c r="L312">
        <v>1.62143294034374</v>
      </c>
      <c r="M312">
        <v>0.24929156752270701</v>
      </c>
      <c r="N312">
        <v>5482</v>
      </c>
      <c r="R312">
        <v>4572431</v>
      </c>
      <c r="T312">
        <v>3476851</v>
      </c>
    </row>
    <row r="313" spans="1:21" x14ac:dyDescent="0.3">
      <c r="A313" s="1">
        <v>45525</v>
      </c>
      <c r="B313">
        <v>131</v>
      </c>
      <c r="C313">
        <v>1920.8933387151801</v>
      </c>
      <c r="D313">
        <v>4677.0140043594502</v>
      </c>
      <c r="E313">
        <v>51</v>
      </c>
      <c r="F313">
        <v>51</v>
      </c>
      <c r="K313">
        <v>0.57903075400050896</v>
      </c>
      <c r="L313">
        <v>1.4583891870703201</v>
      </c>
      <c r="M313">
        <v>0.25215968208991901</v>
      </c>
      <c r="N313">
        <v>7158</v>
      </c>
      <c r="R313">
        <v>2394686</v>
      </c>
      <c r="T313">
        <v>3806690</v>
      </c>
    </row>
    <row r="314" spans="1:21" x14ac:dyDescent="0.3">
      <c r="A314" s="1">
        <v>45526</v>
      </c>
      <c r="B314">
        <v>124</v>
      </c>
      <c r="C314">
        <v>1890.8056677207401</v>
      </c>
      <c r="D314">
        <v>5085.4261980909896</v>
      </c>
      <c r="E314">
        <v>55</v>
      </c>
      <c r="F314">
        <v>55</v>
      </c>
      <c r="K314">
        <v>0.50326973027305599</v>
      </c>
      <c r="L314">
        <v>1.5932730099336501</v>
      </c>
      <c r="M314">
        <v>0.24508296567711399</v>
      </c>
      <c r="N314">
        <v>7621</v>
      </c>
      <c r="R314">
        <v>1742804</v>
      </c>
      <c r="T314">
        <v>3964505</v>
      </c>
    </row>
    <row r="315" spans="1:21" x14ac:dyDescent="0.3">
      <c r="A315" s="1">
        <v>45527</v>
      </c>
      <c r="B315">
        <v>82</v>
      </c>
      <c r="C315">
        <v>1805.4407189814699</v>
      </c>
      <c r="D315">
        <v>2748.8460133302901</v>
      </c>
      <c r="E315">
        <v>24</v>
      </c>
      <c r="F315">
        <v>24</v>
      </c>
      <c r="K315">
        <v>0.50332628406809998</v>
      </c>
      <c r="L315">
        <v>1.4054326321530199</v>
      </c>
      <c r="M315">
        <v>0.26098599942946399</v>
      </c>
      <c r="N315">
        <v>4251</v>
      </c>
      <c r="R315">
        <v>1163004</v>
      </c>
      <c r="T315">
        <v>3053986</v>
      </c>
    </row>
    <row r="316" spans="1:21" x14ac:dyDescent="0.3">
      <c r="A316" s="1">
        <v>45528</v>
      </c>
      <c r="B316">
        <v>186</v>
      </c>
      <c r="C316">
        <v>2154.5182332158101</v>
      </c>
      <c r="D316">
        <v>9545.6033820010907</v>
      </c>
      <c r="E316">
        <v>76</v>
      </c>
      <c r="F316">
        <v>76</v>
      </c>
      <c r="K316">
        <v>0.65349722968776403</v>
      </c>
      <c r="L316">
        <v>1.49706922115376</v>
      </c>
      <c r="M316">
        <v>0.248915701927058</v>
      </c>
      <c r="N316">
        <v>14081</v>
      </c>
      <c r="R316">
        <v>978254</v>
      </c>
      <c r="T316">
        <v>9159302</v>
      </c>
      <c r="U316">
        <v>153667</v>
      </c>
    </row>
    <row r="317" spans="1:21" x14ac:dyDescent="0.3">
      <c r="A317" s="1">
        <v>45529</v>
      </c>
      <c r="B317">
        <v>27</v>
      </c>
      <c r="C317">
        <v>1634.1068974488901</v>
      </c>
      <c r="D317">
        <v>1130.8914435588299</v>
      </c>
      <c r="E317">
        <v>2</v>
      </c>
      <c r="F317">
        <v>2</v>
      </c>
      <c r="K317">
        <v>0.65369435591965597</v>
      </c>
      <c r="L317">
        <v>1.2354227932670201</v>
      </c>
      <c r="M317">
        <v>0.28273483271525301</v>
      </c>
      <c r="N317">
        <v>1784</v>
      </c>
      <c r="T317">
        <v>1225765</v>
      </c>
    </row>
    <row r="318" spans="1:21" x14ac:dyDescent="0.3">
      <c r="A318" s="1">
        <v>45530</v>
      </c>
      <c r="B318">
        <v>218</v>
      </c>
      <c r="C318">
        <v>2134.6605308817202</v>
      </c>
      <c r="D318">
        <v>9788.0824542196297</v>
      </c>
      <c r="E318">
        <v>71</v>
      </c>
      <c r="F318">
        <v>71</v>
      </c>
      <c r="K318">
        <v>0.65024631030755298</v>
      </c>
      <c r="L318">
        <v>1.47887554764331</v>
      </c>
      <c r="M318">
        <v>0.25830786258570498</v>
      </c>
      <c r="N318">
        <v>14651</v>
      </c>
      <c r="R318">
        <v>1757818</v>
      </c>
      <c r="T318">
        <v>8321205</v>
      </c>
    </row>
    <row r="319" spans="1:21" x14ac:dyDescent="0.3">
      <c r="A319" s="1">
        <v>45531</v>
      </c>
      <c r="B319">
        <v>127</v>
      </c>
      <c r="C319">
        <v>1975.39543875291</v>
      </c>
      <c r="D319">
        <v>4761.2435261896399</v>
      </c>
      <c r="E319">
        <v>55</v>
      </c>
      <c r="F319">
        <v>55</v>
      </c>
      <c r="K319">
        <v>0.42238947229614299</v>
      </c>
      <c r="L319">
        <v>1.52634296365397</v>
      </c>
      <c r="M319">
        <v>0.250010343545708</v>
      </c>
      <c r="N319">
        <v>7393</v>
      </c>
      <c r="R319">
        <v>2189926</v>
      </c>
      <c r="T319">
        <v>5003049</v>
      </c>
    </row>
    <row r="320" spans="1:21" x14ac:dyDescent="0.3">
      <c r="A320" s="1">
        <v>45532</v>
      </c>
      <c r="B320">
        <v>139</v>
      </c>
      <c r="C320">
        <v>1930.44580370789</v>
      </c>
      <c r="D320">
        <v>6627.3618024069601</v>
      </c>
      <c r="E320">
        <v>59</v>
      </c>
      <c r="F320">
        <v>59</v>
      </c>
      <c r="K320">
        <v>0.68343472613090395</v>
      </c>
      <c r="L320">
        <v>1.8553719630641199</v>
      </c>
      <c r="M320">
        <v>0.26098599942946399</v>
      </c>
      <c r="N320">
        <v>9722</v>
      </c>
      <c r="R320">
        <v>1093181</v>
      </c>
      <c r="T320">
        <v>5370247</v>
      </c>
    </row>
    <row r="321" spans="1:21" x14ac:dyDescent="0.3">
      <c r="A321" s="1">
        <v>45533</v>
      </c>
      <c r="B321">
        <v>131</v>
      </c>
      <c r="C321">
        <v>1982.45573601505</v>
      </c>
      <c r="D321">
        <v>4576.1344012011996</v>
      </c>
      <c r="E321">
        <v>64</v>
      </c>
      <c r="F321">
        <v>64</v>
      </c>
      <c r="K321">
        <v>0.479099575993715</v>
      </c>
      <c r="L321">
        <v>1.72224950580257</v>
      </c>
      <c r="M321">
        <v>0.25011158278656997</v>
      </c>
      <c r="N321">
        <v>6776</v>
      </c>
      <c r="R321">
        <v>2696408</v>
      </c>
      <c r="T321">
        <v>4587851</v>
      </c>
    </row>
    <row r="322" spans="1:21" x14ac:dyDescent="0.3">
      <c r="A322" s="1">
        <v>45534</v>
      </c>
      <c r="B322">
        <v>142</v>
      </c>
      <c r="C322">
        <v>1980.5151014385399</v>
      </c>
      <c r="D322">
        <v>7423.9294071654203</v>
      </c>
      <c r="E322">
        <v>57</v>
      </c>
      <c r="F322">
        <v>57</v>
      </c>
      <c r="K322">
        <v>0.59028430017634304</v>
      </c>
      <c r="L322">
        <v>2.2365855954874001</v>
      </c>
      <c r="M322">
        <v>0.25011158278656997</v>
      </c>
      <c r="N322">
        <v>10884</v>
      </c>
      <c r="R322">
        <v>900530</v>
      </c>
      <c r="T322">
        <v>5887672</v>
      </c>
      <c r="U322">
        <v>256101</v>
      </c>
    </row>
    <row r="323" spans="1:21" x14ac:dyDescent="0.3">
      <c r="A323" s="1">
        <v>45535</v>
      </c>
      <c r="B323">
        <v>89</v>
      </c>
      <c r="C323">
        <v>1910.6087675229101</v>
      </c>
      <c r="D323">
        <v>2994.65548578782</v>
      </c>
      <c r="E323">
        <v>41</v>
      </c>
      <c r="F323">
        <v>41</v>
      </c>
      <c r="K323">
        <v>0.417440143613236</v>
      </c>
      <c r="L323">
        <v>1.47204461919483</v>
      </c>
      <c r="M323">
        <v>0.26816314020702198</v>
      </c>
      <c r="N323">
        <v>4667</v>
      </c>
      <c r="R323">
        <v>2008372</v>
      </c>
      <c r="T323">
        <v>4035520</v>
      </c>
    </row>
    <row r="324" spans="1:21" x14ac:dyDescent="0.3">
      <c r="A324" s="1">
        <v>45536</v>
      </c>
      <c r="B324">
        <v>27</v>
      </c>
      <c r="C324">
        <v>1641.39290903236</v>
      </c>
      <c r="D324">
        <v>1657.15251765059</v>
      </c>
      <c r="E324">
        <v>4</v>
      </c>
      <c r="F324">
        <v>4</v>
      </c>
      <c r="K324">
        <v>0.67072505337275701</v>
      </c>
      <c r="L324">
        <v>1.3886876057413799</v>
      </c>
      <c r="M324">
        <v>0.29360924935814697</v>
      </c>
      <c r="N324">
        <v>2428</v>
      </c>
      <c r="T324">
        <v>1356414</v>
      </c>
    </row>
    <row r="325" spans="1:21" x14ac:dyDescent="0.3">
      <c r="A325" s="1">
        <v>45537</v>
      </c>
      <c r="B325">
        <v>101</v>
      </c>
      <c r="C325">
        <v>1894.4140706793801</v>
      </c>
      <c r="D325">
        <v>3501.6811619370201</v>
      </c>
      <c r="E325">
        <v>51</v>
      </c>
      <c r="F325">
        <v>51</v>
      </c>
      <c r="K325">
        <v>0.59624524806788004</v>
      </c>
      <c r="L325">
        <v>1.46885244837503</v>
      </c>
      <c r="M325">
        <v>0.26291326063561998</v>
      </c>
      <c r="N325">
        <v>5397</v>
      </c>
      <c r="R325">
        <v>2312744</v>
      </c>
      <c r="T325">
        <v>3419524</v>
      </c>
    </row>
    <row r="326" spans="1:21" x14ac:dyDescent="0.3">
      <c r="A326" s="1">
        <v>45538</v>
      </c>
      <c r="B326">
        <v>148</v>
      </c>
      <c r="C326">
        <v>1992.1079614442499</v>
      </c>
      <c r="D326">
        <v>7355.4844235059199</v>
      </c>
      <c r="E326">
        <v>57</v>
      </c>
      <c r="F326">
        <v>57</v>
      </c>
      <c r="K326">
        <v>0.72900128184750701</v>
      </c>
      <c r="L326">
        <v>1.8014786939286001</v>
      </c>
      <c r="M326">
        <v>0.29360924935814697</v>
      </c>
      <c r="N326">
        <v>10860</v>
      </c>
      <c r="R326">
        <v>904368</v>
      </c>
      <c r="T326">
        <v>6677944</v>
      </c>
    </row>
    <row r="327" spans="1:21" x14ac:dyDescent="0.3">
      <c r="A327" s="1">
        <v>45539</v>
      </c>
      <c r="B327">
        <v>96</v>
      </c>
      <c r="C327">
        <v>1898.3527385155701</v>
      </c>
      <c r="D327">
        <v>3335.71874154125</v>
      </c>
      <c r="E327">
        <v>40</v>
      </c>
      <c r="F327">
        <v>40</v>
      </c>
      <c r="K327">
        <v>0.42128782733912901</v>
      </c>
      <c r="L327">
        <v>1.41040210106929</v>
      </c>
      <c r="M327">
        <v>0.25127376963627901</v>
      </c>
      <c r="N327">
        <v>5130</v>
      </c>
      <c r="R327">
        <v>1623810</v>
      </c>
      <c r="T327">
        <v>4227127</v>
      </c>
    </row>
    <row r="328" spans="1:21" x14ac:dyDescent="0.3">
      <c r="A328" s="1">
        <v>45540</v>
      </c>
      <c r="B328">
        <v>160</v>
      </c>
      <c r="C328">
        <v>1945.7666957592201</v>
      </c>
      <c r="D328">
        <v>6405.9524153517696</v>
      </c>
      <c r="E328">
        <v>47</v>
      </c>
      <c r="F328">
        <v>47</v>
      </c>
      <c r="K328">
        <v>0.59016656607977303</v>
      </c>
      <c r="L328">
        <v>1.5204292174096199</v>
      </c>
      <c r="M328">
        <v>0.26098599942946399</v>
      </c>
      <c r="N328">
        <v>9761</v>
      </c>
      <c r="R328">
        <v>1578408</v>
      </c>
      <c r="T328">
        <v>5125914</v>
      </c>
    </row>
    <row r="329" spans="1:21" x14ac:dyDescent="0.3">
      <c r="A329" s="1">
        <v>45541</v>
      </c>
      <c r="B329">
        <v>112</v>
      </c>
      <c r="C329">
        <v>1926.7591987456201</v>
      </c>
      <c r="D329">
        <v>5186.2514439408196</v>
      </c>
      <c r="E329">
        <v>45</v>
      </c>
      <c r="F329">
        <v>45</v>
      </c>
      <c r="K329">
        <v>0.60326363524349103</v>
      </c>
      <c r="L329">
        <v>1.4905027039666301</v>
      </c>
      <c r="M329">
        <v>0.25011158278656997</v>
      </c>
      <c r="N329">
        <v>7671</v>
      </c>
      <c r="R329">
        <v>1093454</v>
      </c>
      <c r="T329">
        <v>5303846</v>
      </c>
    </row>
    <row r="330" spans="1:21" x14ac:dyDescent="0.3">
      <c r="A330" s="1">
        <v>45542</v>
      </c>
      <c r="B330">
        <v>63</v>
      </c>
      <c r="C330">
        <v>1843.84368998387</v>
      </c>
      <c r="D330">
        <v>1345.38107861653</v>
      </c>
      <c r="E330">
        <v>34</v>
      </c>
      <c r="F330">
        <v>34</v>
      </c>
      <c r="K330">
        <v>0.432887519719449</v>
      </c>
      <c r="L330">
        <v>1.41174119657826</v>
      </c>
      <c r="M330">
        <v>0.29360924935814697</v>
      </c>
      <c r="N330">
        <v>2314</v>
      </c>
      <c r="R330">
        <v>2180674</v>
      </c>
      <c r="T330">
        <v>2653984</v>
      </c>
    </row>
    <row r="331" spans="1:21" x14ac:dyDescent="0.3">
      <c r="A331" s="1">
        <v>45543</v>
      </c>
      <c r="B331">
        <v>104</v>
      </c>
      <c r="C331">
        <v>1817.4838904074099</v>
      </c>
      <c r="D331">
        <v>4431.72304833821</v>
      </c>
      <c r="E331">
        <v>20</v>
      </c>
      <c r="F331">
        <v>20</v>
      </c>
      <c r="K331">
        <v>0.55077289569258203</v>
      </c>
      <c r="L331">
        <v>1.9753696495434401</v>
      </c>
      <c r="M331">
        <v>0.24890044502238801</v>
      </c>
      <c r="N331">
        <v>6885</v>
      </c>
      <c r="R331">
        <v>646956</v>
      </c>
      <c r="T331">
        <v>3821976</v>
      </c>
    </row>
    <row r="332" spans="1:21" x14ac:dyDescent="0.3">
      <c r="A332" s="1">
        <v>45544</v>
      </c>
      <c r="B332">
        <v>157</v>
      </c>
      <c r="C332">
        <v>2039.6734127274799</v>
      </c>
      <c r="D332">
        <v>6080.6600795138302</v>
      </c>
      <c r="E332">
        <v>56</v>
      </c>
      <c r="F332">
        <v>56</v>
      </c>
      <c r="K332">
        <v>0.64618570244574203</v>
      </c>
      <c r="L332">
        <v>1.58589023406421</v>
      </c>
      <c r="M332">
        <v>0.271860416072358</v>
      </c>
      <c r="N332">
        <v>9408</v>
      </c>
      <c r="R332">
        <v>2182632</v>
      </c>
      <c r="T332">
        <v>6163476</v>
      </c>
    </row>
    <row r="333" spans="1:21" x14ac:dyDescent="0.3">
      <c r="A333" s="1">
        <v>45545</v>
      </c>
      <c r="B333">
        <v>184</v>
      </c>
      <c r="C333">
        <v>2185.13336368522</v>
      </c>
      <c r="D333">
        <v>7850.5660383387403</v>
      </c>
      <c r="E333">
        <v>115</v>
      </c>
      <c r="F333">
        <v>115</v>
      </c>
      <c r="K333">
        <v>0.45194781659400901</v>
      </c>
      <c r="L333">
        <v>1.5024010130444201</v>
      </c>
      <c r="M333">
        <v>0.25011158278656997</v>
      </c>
      <c r="N333">
        <v>11460</v>
      </c>
      <c r="R333">
        <v>3318781</v>
      </c>
      <c r="T333">
        <v>7556456</v>
      </c>
    </row>
    <row r="334" spans="1:21" x14ac:dyDescent="0.3">
      <c r="A334" s="1">
        <v>45546</v>
      </c>
      <c r="B334">
        <v>118</v>
      </c>
      <c r="C334">
        <v>1895.8106702846501</v>
      </c>
      <c r="D334">
        <v>4110.7038166983502</v>
      </c>
      <c r="E334">
        <v>45</v>
      </c>
      <c r="F334">
        <v>45</v>
      </c>
      <c r="K334">
        <v>0.54081686397600004</v>
      </c>
      <c r="L334">
        <v>1.39353205019382</v>
      </c>
      <c r="M334">
        <v>0.28273483271525301</v>
      </c>
      <c r="N334">
        <v>6349</v>
      </c>
      <c r="R334">
        <v>2181054</v>
      </c>
      <c r="T334">
        <v>3585440</v>
      </c>
    </row>
    <row r="335" spans="1:21" x14ac:dyDescent="0.3">
      <c r="A335" s="1">
        <v>45547</v>
      </c>
      <c r="B335">
        <v>151</v>
      </c>
      <c r="C335">
        <v>2008.4660918805901</v>
      </c>
      <c r="D335">
        <v>6610.2009039322402</v>
      </c>
      <c r="E335">
        <v>65</v>
      </c>
      <c r="F335">
        <v>64</v>
      </c>
      <c r="K335">
        <v>0.60414981910986298</v>
      </c>
      <c r="L335">
        <v>2.0593529445756902</v>
      </c>
      <c r="M335">
        <v>0.26098599942946399</v>
      </c>
      <c r="N335">
        <v>9961</v>
      </c>
      <c r="R335">
        <v>1777841</v>
      </c>
      <c r="T335">
        <v>5844163</v>
      </c>
      <c r="U335">
        <v>84156</v>
      </c>
    </row>
    <row r="336" spans="1:21" x14ac:dyDescent="0.3">
      <c r="A336" s="1">
        <v>45548</v>
      </c>
      <c r="B336">
        <v>103</v>
      </c>
      <c r="C336">
        <v>1854.2227994693301</v>
      </c>
      <c r="D336">
        <v>5239.3871983839599</v>
      </c>
      <c r="E336">
        <v>35</v>
      </c>
      <c r="F336">
        <v>35</v>
      </c>
      <c r="K336">
        <v>0.43385231222718601</v>
      </c>
      <c r="L336">
        <v>1.5008823392408199</v>
      </c>
      <c r="M336">
        <v>0.25774089969328201</v>
      </c>
      <c r="N336">
        <v>8125</v>
      </c>
      <c r="R336">
        <v>473141</v>
      </c>
      <c r="T336">
        <v>4666709</v>
      </c>
    </row>
    <row r="337" spans="1:21" x14ac:dyDescent="0.3">
      <c r="A337" s="1">
        <v>45549</v>
      </c>
      <c r="B337">
        <v>149</v>
      </c>
      <c r="C337">
        <v>2033.12317003925</v>
      </c>
      <c r="D337">
        <v>4548.0224549966797</v>
      </c>
      <c r="E337">
        <v>60</v>
      </c>
      <c r="F337">
        <v>60</v>
      </c>
      <c r="K337">
        <v>0.44934870382039299</v>
      </c>
      <c r="L337">
        <v>1.54034039638356</v>
      </c>
      <c r="M337">
        <v>0.24568079035104801</v>
      </c>
      <c r="N337">
        <v>7603</v>
      </c>
      <c r="R337">
        <v>3304195</v>
      </c>
      <c r="T337">
        <v>4846241</v>
      </c>
    </row>
    <row r="338" spans="1:21" x14ac:dyDescent="0.3">
      <c r="A338" s="1">
        <v>45550</v>
      </c>
      <c r="B338">
        <v>222</v>
      </c>
      <c r="C338">
        <v>2207.7265033728499</v>
      </c>
      <c r="D338">
        <v>8952.6357260634795</v>
      </c>
      <c r="E338">
        <v>144</v>
      </c>
      <c r="F338">
        <v>125</v>
      </c>
      <c r="K338">
        <v>0.64815665488706398</v>
      </c>
      <c r="L338">
        <v>2.3929193883724298</v>
      </c>
      <c r="M338">
        <v>0.25011158278656997</v>
      </c>
      <c r="N338">
        <v>12879</v>
      </c>
      <c r="R338">
        <v>4747291</v>
      </c>
      <c r="T338">
        <v>6406929</v>
      </c>
    </row>
    <row r="339" spans="1:21" x14ac:dyDescent="0.3">
      <c r="A339" s="1">
        <v>45551</v>
      </c>
      <c r="B339">
        <v>155</v>
      </c>
      <c r="C339">
        <v>1875.3916182596599</v>
      </c>
      <c r="D339">
        <v>6003.2596230484696</v>
      </c>
      <c r="E339">
        <v>50</v>
      </c>
      <c r="F339">
        <v>50</v>
      </c>
      <c r="K339">
        <v>0.53917810815246303</v>
      </c>
      <c r="L339">
        <v>1.6442827027740801</v>
      </c>
      <c r="M339">
        <v>0.25011158278656997</v>
      </c>
      <c r="N339">
        <v>9182</v>
      </c>
      <c r="R339">
        <v>1359799</v>
      </c>
      <c r="T339">
        <v>4097816</v>
      </c>
    </row>
    <row r="340" spans="1:21" x14ac:dyDescent="0.3">
      <c r="A340" s="1">
        <v>45552</v>
      </c>
      <c r="B340">
        <v>132</v>
      </c>
      <c r="C340">
        <v>1951.68991811152</v>
      </c>
      <c r="D340">
        <v>4124.0011900723703</v>
      </c>
      <c r="E340">
        <v>70</v>
      </c>
      <c r="F340">
        <v>70</v>
      </c>
      <c r="K340">
        <v>0.52225963781548401</v>
      </c>
      <c r="L340">
        <v>1.4219186786058999</v>
      </c>
      <c r="M340">
        <v>0.28273483271525301</v>
      </c>
      <c r="N340">
        <v>6302</v>
      </c>
      <c r="R340">
        <v>3106678</v>
      </c>
      <c r="T340">
        <v>3597288</v>
      </c>
    </row>
    <row r="341" spans="1:21" x14ac:dyDescent="0.3">
      <c r="A341" s="1">
        <v>45553</v>
      </c>
      <c r="B341">
        <v>104</v>
      </c>
      <c r="C341">
        <v>1844.19869450482</v>
      </c>
      <c r="D341">
        <v>2913.2957188649998</v>
      </c>
      <c r="E341">
        <v>43</v>
      </c>
      <c r="F341">
        <v>43</v>
      </c>
      <c r="K341">
        <v>0.59578542439974402</v>
      </c>
      <c r="L341">
        <v>1.40300013950673</v>
      </c>
      <c r="M341">
        <v>0.26098599942946399</v>
      </c>
      <c r="N341">
        <v>4707</v>
      </c>
      <c r="R341">
        <v>2444904</v>
      </c>
      <c r="T341">
        <v>2377696</v>
      </c>
    </row>
    <row r="342" spans="1:21" x14ac:dyDescent="0.3">
      <c r="A342" s="1">
        <v>45554</v>
      </c>
      <c r="B342">
        <v>126</v>
      </c>
      <c r="C342">
        <v>1918.4274454076201</v>
      </c>
      <c r="D342">
        <v>4195.6094507255402</v>
      </c>
      <c r="E342">
        <v>49</v>
      </c>
      <c r="F342">
        <v>49</v>
      </c>
      <c r="K342">
        <v>0.62491673962799599</v>
      </c>
      <c r="L342">
        <v>1.4686215132757801</v>
      </c>
      <c r="M342">
        <v>0.271860416072358</v>
      </c>
      <c r="N342">
        <v>6387</v>
      </c>
      <c r="R342">
        <v>2217400</v>
      </c>
      <c r="T342">
        <v>3952117</v>
      </c>
    </row>
    <row r="343" spans="1:21" x14ac:dyDescent="0.3">
      <c r="A343" s="1">
        <v>45555</v>
      </c>
      <c r="B343">
        <v>118</v>
      </c>
      <c r="C343">
        <v>1864.0151329508201</v>
      </c>
      <c r="D343">
        <v>5835.1206775916398</v>
      </c>
      <c r="E343">
        <v>43</v>
      </c>
      <c r="F343">
        <v>42</v>
      </c>
      <c r="K343">
        <v>0.58049588625034998</v>
      </c>
      <c r="L343">
        <v>2.1369305747652798</v>
      </c>
      <c r="M343">
        <v>0.26098599942946399</v>
      </c>
      <c r="N343">
        <v>8586</v>
      </c>
      <c r="R343">
        <v>605280</v>
      </c>
      <c r="T343">
        <v>4685471</v>
      </c>
    </row>
    <row r="344" spans="1:21" x14ac:dyDescent="0.3">
      <c r="A344" s="1">
        <v>45556</v>
      </c>
      <c r="B344">
        <v>71</v>
      </c>
      <c r="C344">
        <v>1819.7982640411101</v>
      </c>
      <c r="D344">
        <v>2313.1603933001802</v>
      </c>
      <c r="E344">
        <v>31</v>
      </c>
      <c r="F344">
        <v>31</v>
      </c>
      <c r="K344">
        <v>0.496544728795977</v>
      </c>
      <c r="L344">
        <v>1.51096523515064</v>
      </c>
      <c r="M344">
        <v>0.271860416072358</v>
      </c>
      <c r="N344">
        <v>3580</v>
      </c>
      <c r="R344">
        <v>1526816</v>
      </c>
      <c r="T344">
        <v>2922260</v>
      </c>
    </row>
    <row r="345" spans="1:21" x14ac:dyDescent="0.3">
      <c r="A345" s="1">
        <v>45557</v>
      </c>
      <c r="B345">
        <v>30</v>
      </c>
      <c r="C345">
        <v>1672.69354049353</v>
      </c>
      <c r="D345">
        <v>3006.17265648496</v>
      </c>
      <c r="E345">
        <v>43</v>
      </c>
      <c r="F345">
        <v>23</v>
      </c>
      <c r="K345">
        <v>0.89830305274589195</v>
      </c>
      <c r="L345">
        <v>2.24045482257783</v>
      </c>
      <c r="M345">
        <v>0.32623246588062499</v>
      </c>
      <c r="N345">
        <v>3772</v>
      </c>
      <c r="T345">
        <v>1651258</v>
      </c>
    </row>
    <row r="346" spans="1:21" x14ac:dyDescent="0.3">
      <c r="A346" s="1">
        <v>45558</v>
      </c>
      <c r="B346">
        <v>163</v>
      </c>
      <c r="C346">
        <v>2061.7062229621001</v>
      </c>
      <c r="D346">
        <v>4554.9867113544497</v>
      </c>
      <c r="E346">
        <v>76</v>
      </c>
      <c r="F346">
        <v>76</v>
      </c>
      <c r="K346">
        <v>0.49374589530082202</v>
      </c>
      <c r="L346">
        <v>1.56810995621226</v>
      </c>
      <c r="M346">
        <v>0.25011158278656997</v>
      </c>
      <c r="N346">
        <v>6948</v>
      </c>
      <c r="R346">
        <v>4048520</v>
      </c>
      <c r="T346">
        <v>4562554</v>
      </c>
    </row>
    <row r="347" spans="1:21" x14ac:dyDescent="0.3">
      <c r="A347" s="1">
        <v>45559</v>
      </c>
      <c r="B347">
        <v>133</v>
      </c>
      <c r="C347">
        <v>1906.31008101115</v>
      </c>
      <c r="D347">
        <v>3976.5579877561199</v>
      </c>
      <c r="E347">
        <v>52</v>
      </c>
      <c r="F347">
        <v>52</v>
      </c>
      <c r="K347">
        <v>0.57377854149456198</v>
      </c>
      <c r="L347">
        <v>1.68910701064932</v>
      </c>
      <c r="M347">
        <v>0.26644254178187099</v>
      </c>
      <c r="N347">
        <v>6190</v>
      </c>
      <c r="R347">
        <v>2636344</v>
      </c>
      <c r="T347">
        <v>3286674</v>
      </c>
    </row>
    <row r="348" spans="1:21" x14ac:dyDescent="0.3">
      <c r="A348" s="1">
        <v>45560</v>
      </c>
      <c r="B348">
        <v>136</v>
      </c>
      <c r="C348">
        <v>1974.8122379577701</v>
      </c>
      <c r="D348">
        <v>3755.3321799320902</v>
      </c>
      <c r="E348">
        <v>76</v>
      </c>
      <c r="F348">
        <v>76</v>
      </c>
      <c r="K348">
        <v>0.56042618209879802</v>
      </c>
      <c r="L348">
        <v>1.4474076221828001</v>
      </c>
      <c r="M348">
        <v>0.248945400943203</v>
      </c>
      <c r="N348">
        <v>5655</v>
      </c>
      <c r="R348">
        <v>3823936</v>
      </c>
      <c r="T348">
        <v>3244634</v>
      </c>
    </row>
    <row r="349" spans="1:21" x14ac:dyDescent="0.3">
      <c r="A349" s="1">
        <v>45561</v>
      </c>
      <c r="B349">
        <v>122</v>
      </c>
      <c r="C349">
        <v>1909.6322502912401</v>
      </c>
      <c r="D349">
        <v>4483.0723670440802</v>
      </c>
      <c r="E349">
        <v>52</v>
      </c>
      <c r="F349">
        <v>52</v>
      </c>
      <c r="K349">
        <v>0.484325227825668</v>
      </c>
      <c r="L349">
        <v>1.4685142520265699</v>
      </c>
      <c r="M349">
        <v>0.29360924935814697</v>
      </c>
      <c r="N349">
        <v>6796</v>
      </c>
      <c r="R349">
        <v>2036482</v>
      </c>
      <c r="T349">
        <v>3836038</v>
      </c>
      <c r="U349">
        <v>66330</v>
      </c>
    </row>
    <row r="350" spans="1:21" x14ac:dyDescent="0.3">
      <c r="A350" s="1">
        <v>45562</v>
      </c>
      <c r="B350">
        <v>174</v>
      </c>
      <c r="C350">
        <v>2120.36955604475</v>
      </c>
      <c r="D350">
        <v>5928.2568866142701</v>
      </c>
      <c r="E350">
        <v>108</v>
      </c>
      <c r="F350">
        <v>108</v>
      </c>
      <c r="K350">
        <v>0.478307765085835</v>
      </c>
      <c r="L350">
        <v>1.6139267977765299</v>
      </c>
      <c r="M350">
        <v>0.26098599942946399</v>
      </c>
      <c r="N350">
        <v>8711</v>
      </c>
      <c r="R350">
        <v>4317631</v>
      </c>
      <c r="T350">
        <v>5326618</v>
      </c>
    </row>
    <row r="351" spans="1:21" x14ac:dyDescent="0.3">
      <c r="A351" s="1">
        <v>45563</v>
      </c>
      <c r="B351">
        <v>64</v>
      </c>
      <c r="C351">
        <v>1753.17318197124</v>
      </c>
      <c r="D351">
        <v>4018.4025202142302</v>
      </c>
      <c r="E351">
        <v>29</v>
      </c>
      <c r="F351">
        <v>29</v>
      </c>
      <c r="K351">
        <v>0.46262856613629999</v>
      </c>
      <c r="L351">
        <v>1.98142114770433</v>
      </c>
      <c r="M351">
        <v>0.26098599942946399</v>
      </c>
      <c r="N351">
        <v>5864</v>
      </c>
      <c r="T351">
        <v>3360580</v>
      </c>
    </row>
    <row r="352" spans="1:21" x14ac:dyDescent="0.3">
      <c r="A352" s="1">
        <v>45564</v>
      </c>
      <c r="B352">
        <v>43</v>
      </c>
      <c r="C352">
        <v>1694.3384175101401</v>
      </c>
      <c r="D352">
        <v>2244.2457780677601</v>
      </c>
      <c r="E352">
        <v>15</v>
      </c>
      <c r="F352">
        <v>15</v>
      </c>
      <c r="K352">
        <v>0.58824393679658105</v>
      </c>
      <c r="L352">
        <v>1.4371170374878099</v>
      </c>
      <c r="M352">
        <v>0.25027974897550198</v>
      </c>
      <c r="N352">
        <v>3420</v>
      </c>
      <c r="T352">
        <v>2305825</v>
      </c>
    </row>
    <row r="353" spans="1:21" x14ac:dyDescent="0.3">
      <c r="A353" s="1">
        <v>45565</v>
      </c>
      <c r="B353">
        <v>97</v>
      </c>
      <c r="C353">
        <v>1898.4266004173001</v>
      </c>
      <c r="D353">
        <v>4883.9025803969298</v>
      </c>
      <c r="E353">
        <v>47</v>
      </c>
      <c r="F353">
        <v>47</v>
      </c>
      <c r="K353">
        <v>0.40620450031133898</v>
      </c>
      <c r="L353">
        <v>1.4524496325570999</v>
      </c>
      <c r="M353">
        <v>0.27046872975237901</v>
      </c>
      <c r="N353">
        <v>7133</v>
      </c>
      <c r="R353">
        <v>924423</v>
      </c>
      <c r="T353">
        <v>4976609</v>
      </c>
    </row>
    <row r="354" spans="1:21" x14ac:dyDescent="0.3">
      <c r="A354" s="1">
        <v>45566</v>
      </c>
      <c r="B354">
        <v>1</v>
      </c>
      <c r="C354">
        <v>1565.74999999999</v>
      </c>
      <c r="D354">
        <v>48.2824098944509</v>
      </c>
      <c r="K354">
        <v>0.40924032063994198</v>
      </c>
      <c r="L354">
        <v>0.51178569431929999</v>
      </c>
      <c r="M354">
        <v>0.326232478407951</v>
      </c>
      <c r="N354">
        <v>176</v>
      </c>
    </row>
    <row r="355" spans="1:21" x14ac:dyDescent="0.3">
      <c r="A355" s="1">
        <v>45567</v>
      </c>
      <c r="B355">
        <v>84</v>
      </c>
      <c r="C355">
        <v>1802.8756127009499</v>
      </c>
      <c r="D355">
        <v>5610.4673202075701</v>
      </c>
      <c r="E355">
        <v>49</v>
      </c>
      <c r="F355">
        <v>37</v>
      </c>
      <c r="K355">
        <v>0.52802784933708102</v>
      </c>
      <c r="L355">
        <v>2.40104801735778</v>
      </c>
      <c r="M355">
        <v>0.26098599942946399</v>
      </c>
      <c r="N355">
        <v>7814</v>
      </c>
      <c r="T355">
        <v>4107927</v>
      </c>
    </row>
    <row r="356" spans="1:21" x14ac:dyDescent="0.3">
      <c r="A356" s="1">
        <v>45568</v>
      </c>
      <c r="B356">
        <v>24</v>
      </c>
      <c r="C356">
        <v>1608.81909254941</v>
      </c>
      <c r="D356">
        <v>995.77518922523598</v>
      </c>
      <c r="E356">
        <v>4</v>
      </c>
      <c r="F356">
        <v>4</v>
      </c>
      <c r="K356">
        <v>0.50963773258348399</v>
      </c>
      <c r="L356">
        <v>1.31214496319411</v>
      </c>
      <c r="M356">
        <v>0.28637039113317803</v>
      </c>
      <c r="N356">
        <v>1631</v>
      </c>
      <c r="T356">
        <v>772308</v>
      </c>
    </row>
    <row r="357" spans="1:21" x14ac:dyDescent="0.3">
      <c r="A357" s="1">
        <v>45569</v>
      </c>
      <c r="B357">
        <v>137</v>
      </c>
      <c r="C357">
        <v>1964.76905490735</v>
      </c>
      <c r="D357">
        <v>6686.2759635419598</v>
      </c>
      <c r="E357">
        <v>66</v>
      </c>
      <c r="F357">
        <v>61</v>
      </c>
      <c r="K357">
        <v>0.58639986236874697</v>
      </c>
      <c r="L357">
        <v>2.1419470798304499</v>
      </c>
      <c r="M357">
        <v>0.25011158278656997</v>
      </c>
      <c r="N357">
        <v>9630</v>
      </c>
      <c r="R357">
        <v>1322286</v>
      </c>
      <c r="T357">
        <v>5685865</v>
      </c>
    </row>
    <row r="358" spans="1:21" x14ac:dyDescent="0.3">
      <c r="A358" s="1">
        <v>45570</v>
      </c>
      <c r="B358">
        <v>79</v>
      </c>
      <c r="C358">
        <v>1735.3687546189201</v>
      </c>
      <c r="D358">
        <v>2761.9258840020502</v>
      </c>
      <c r="E358">
        <v>22</v>
      </c>
      <c r="F358">
        <v>22</v>
      </c>
      <c r="K358">
        <v>0.55049276330901098</v>
      </c>
      <c r="L358">
        <v>2.2675273316476301</v>
      </c>
      <c r="M358">
        <v>0.26098599942946399</v>
      </c>
      <c r="N358">
        <v>4263</v>
      </c>
      <c r="R358">
        <v>989886</v>
      </c>
      <c r="T358">
        <v>1982660</v>
      </c>
    </row>
    <row r="359" spans="1:21" x14ac:dyDescent="0.3">
      <c r="A359" s="1">
        <v>45571</v>
      </c>
      <c r="B359">
        <v>162</v>
      </c>
      <c r="C359">
        <v>2123.81961028363</v>
      </c>
      <c r="D359">
        <v>4952.8377089559299</v>
      </c>
      <c r="E359">
        <v>79</v>
      </c>
      <c r="F359">
        <v>79</v>
      </c>
      <c r="K359">
        <v>0.66905148242927703</v>
      </c>
      <c r="L359">
        <v>1.5204929377049901</v>
      </c>
      <c r="M359">
        <v>0.25211268883793198</v>
      </c>
      <c r="N359">
        <v>7466</v>
      </c>
      <c r="R359">
        <v>3630349</v>
      </c>
      <c r="T359">
        <v>6123694</v>
      </c>
    </row>
    <row r="360" spans="1:21" x14ac:dyDescent="0.3">
      <c r="A360" s="1">
        <v>45572</v>
      </c>
      <c r="B360">
        <v>99</v>
      </c>
      <c r="C360">
        <v>1852.7863304483201</v>
      </c>
      <c r="D360">
        <v>3022.0437910218502</v>
      </c>
      <c r="E360">
        <v>34</v>
      </c>
      <c r="F360">
        <v>34</v>
      </c>
      <c r="K360">
        <v>0.45369947575074099</v>
      </c>
      <c r="L360">
        <v>1.7117313545084201</v>
      </c>
      <c r="M360">
        <v>0.25011158278656997</v>
      </c>
      <c r="N360">
        <v>4930</v>
      </c>
      <c r="R360">
        <v>1842071</v>
      </c>
      <c r="T360">
        <v>3176558</v>
      </c>
    </row>
    <row r="361" spans="1:21" x14ac:dyDescent="0.3">
      <c r="A361" s="1">
        <v>45573</v>
      </c>
      <c r="B361">
        <v>101</v>
      </c>
      <c r="C361">
        <v>1858.9930526942701</v>
      </c>
      <c r="D361">
        <v>3274.7442432376101</v>
      </c>
      <c r="E361">
        <v>40</v>
      </c>
      <c r="F361">
        <v>40</v>
      </c>
      <c r="K361">
        <v>0.44543060698637299</v>
      </c>
      <c r="L361">
        <v>1.6140016846448899</v>
      </c>
      <c r="M361">
        <v>0.26098599942946399</v>
      </c>
      <c r="N361">
        <v>5139</v>
      </c>
      <c r="R361">
        <v>1892058</v>
      </c>
      <c r="T361">
        <v>3234382</v>
      </c>
    </row>
    <row r="362" spans="1:21" x14ac:dyDescent="0.3">
      <c r="A362" s="1">
        <v>45574</v>
      </c>
      <c r="B362">
        <v>165</v>
      </c>
      <c r="C362">
        <v>1961.1457967799099</v>
      </c>
      <c r="D362">
        <v>7777.05837425958</v>
      </c>
      <c r="E362">
        <v>52</v>
      </c>
      <c r="F362">
        <v>43</v>
      </c>
      <c r="K362">
        <v>0.69262078529995097</v>
      </c>
      <c r="L362">
        <v>2.60267299414557</v>
      </c>
      <c r="M362">
        <v>0.25011158278656997</v>
      </c>
      <c r="N362">
        <v>11423</v>
      </c>
      <c r="R362">
        <v>878333</v>
      </c>
      <c r="T362">
        <v>5509944</v>
      </c>
      <c r="U362">
        <v>279744</v>
      </c>
    </row>
    <row r="363" spans="1:21" x14ac:dyDescent="0.3">
      <c r="A363" s="1">
        <v>45575</v>
      </c>
      <c r="B363">
        <v>215</v>
      </c>
      <c r="C363">
        <v>2256.27283131486</v>
      </c>
      <c r="D363">
        <v>9500.0762406552694</v>
      </c>
      <c r="E363">
        <v>121</v>
      </c>
      <c r="F363">
        <v>121</v>
      </c>
      <c r="K363">
        <v>0.625047230026747</v>
      </c>
      <c r="L363">
        <v>1.6965031792751299</v>
      </c>
      <c r="M363">
        <v>0.25011158278656997</v>
      </c>
      <c r="N363">
        <v>13839</v>
      </c>
      <c r="R363">
        <v>3639118</v>
      </c>
      <c r="T363">
        <v>8489442</v>
      </c>
    </row>
    <row r="364" spans="1:21" x14ac:dyDescent="0.3">
      <c r="A364" s="1">
        <v>45576</v>
      </c>
      <c r="B364">
        <v>59</v>
      </c>
      <c r="C364">
        <v>1766.3100732190801</v>
      </c>
      <c r="D364">
        <v>1709.3923916204101</v>
      </c>
      <c r="E364">
        <v>31</v>
      </c>
      <c r="F364">
        <v>31</v>
      </c>
      <c r="K364">
        <v>0.47835053138990302</v>
      </c>
      <c r="L364">
        <v>1.433427702166</v>
      </c>
      <c r="M364">
        <v>0.271860416072358</v>
      </c>
      <c r="N364">
        <v>2743</v>
      </c>
      <c r="R364">
        <v>1649178</v>
      </c>
      <c r="T364">
        <v>1832226</v>
      </c>
    </row>
    <row r="365" spans="1:21" x14ac:dyDescent="0.3">
      <c r="A365" s="1">
        <v>45577</v>
      </c>
      <c r="B365">
        <v>134</v>
      </c>
      <c r="C365">
        <v>1986.5380461904099</v>
      </c>
      <c r="D365">
        <v>6809.00197527825</v>
      </c>
      <c r="E365">
        <v>86</v>
      </c>
      <c r="F365">
        <v>66</v>
      </c>
      <c r="K365">
        <v>0.60771879275378504</v>
      </c>
      <c r="L365">
        <v>2.4038001198344601</v>
      </c>
      <c r="M365">
        <v>0.271860416072358</v>
      </c>
      <c r="N365">
        <v>9686</v>
      </c>
      <c r="R365">
        <v>1717252</v>
      </c>
      <c r="T365">
        <v>5681926</v>
      </c>
    </row>
    <row r="366" spans="1:21" x14ac:dyDescent="0.3">
      <c r="A366" s="1">
        <v>45578</v>
      </c>
      <c r="B366">
        <v>61</v>
      </c>
      <c r="C366">
        <v>1738.43320118923</v>
      </c>
      <c r="D366">
        <v>665.09162638014197</v>
      </c>
      <c r="E366">
        <v>41</v>
      </c>
      <c r="F366">
        <v>41</v>
      </c>
      <c r="K366">
        <v>0.73597805617837697</v>
      </c>
      <c r="L366">
        <v>1.38162943098649</v>
      </c>
      <c r="M366">
        <v>0.25011158278656997</v>
      </c>
      <c r="N366">
        <v>1033</v>
      </c>
      <c r="R366">
        <v>2488187</v>
      </c>
      <c r="T366">
        <v>434824</v>
      </c>
    </row>
    <row r="367" spans="1:21" x14ac:dyDescent="0.3">
      <c r="A367" s="1">
        <v>45579</v>
      </c>
      <c r="B367">
        <v>69</v>
      </c>
      <c r="C367">
        <v>1740.5220113493399</v>
      </c>
      <c r="D367">
        <v>2569.43725260066</v>
      </c>
      <c r="E367">
        <v>13</v>
      </c>
      <c r="F367">
        <v>13</v>
      </c>
      <c r="K367">
        <v>0.43370761564803001</v>
      </c>
      <c r="L367">
        <v>1.45154221135251</v>
      </c>
      <c r="M367">
        <v>0.29360924935814697</v>
      </c>
      <c r="N367">
        <v>4037</v>
      </c>
      <c r="R367">
        <v>578004</v>
      </c>
      <c r="T367">
        <v>2515669</v>
      </c>
    </row>
    <row r="368" spans="1:21" x14ac:dyDescent="0.3">
      <c r="A368" s="1">
        <v>45580</v>
      </c>
      <c r="B368">
        <v>119</v>
      </c>
      <c r="C368">
        <v>1928.57176870688</v>
      </c>
      <c r="D368">
        <v>4746.5176241664103</v>
      </c>
      <c r="E368">
        <v>44</v>
      </c>
      <c r="F368">
        <v>44</v>
      </c>
      <c r="K368">
        <v>0.58431897496238705</v>
      </c>
      <c r="L368">
        <v>1.52061347653124</v>
      </c>
      <c r="M368">
        <v>0.25011158278656997</v>
      </c>
      <c r="N368">
        <v>7036</v>
      </c>
      <c r="R368">
        <v>1336624</v>
      </c>
      <c r="T368">
        <v>5076224</v>
      </c>
    </row>
    <row r="369" spans="1:21" x14ac:dyDescent="0.3">
      <c r="A369" s="1">
        <v>45581</v>
      </c>
      <c r="B369">
        <v>64</v>
      </c>
      <c r="C369">
        <v>1758.39731653281</v>
      </c>
      <c r="D369">
        <v>2941.31510469573</v>
      </c>
      <c r="E369">
        <v>22</v>
      </c>
      <c r="F369">
        <v>22</v>
      </c>
      <c r="K369">
        <v>0.46096935572653303</v>
      </c>
      <c r="L369">
        <v>1.6063684700916301</v>
      </c>
      <c r="M369">
        <v>0.26098599942946399</v>
      </c>
      <c r="N369">
        <v>4668</v>
      </c>
      <c r="R369">
        <v>659127</v>
      </c>
      <c r="T369">
        <v>2749427</v>
      </c>
    </row>
    <row r="370" spans="1:21" x14ac:dyDescent="0.3">
      <c r="A370" s="1">
        <v>45582</v>
      </c>
      <c r="B370">
        <v>15</v>
      </c>
      <c r="C370">
        <v>1605.38423299189</v>
      </c>
      <c r="D370">
        <v>556.15762466356</v>
      </c>
      <c r="K370">
        <v>0.40019569996565202</v>
      </c>
      <c r="L370">
        <v>1.2503024574335999</v>
      </c>
      <c r="M370">
        <v>0.24879421099895299</v>
      </c>
      <c r="N370">
        <v>1035</v>
      </c>
      <c r="T370">
        <v>710714</v>
      </c>
    </row>
    <row r="371" spans="1:21" x14ac:dyDescent="0.3">
      <c r="A371" s="1">
        <v>45583</v>
      </c>
      <c r="B371">
        <v>156</v>
      </c>
      <c r="C371">
        <v>1970.57900087911</v>
      </c>
      <c r="D371">
        <v>5589.7487527296998</v>
      </c>
      <c r="E371">
        <v>78</v>
      </c>
      <c r="F371">
        <v>68</v>
      </c>
      <c r="K371">
        <v>0.49427028738210899</v>
      </c>
      <c r="L371">
        <v>2.4241999260608802</v>
      </c>
      <c r="M371">
        <v>0.26098599942946399</v>
      </c>
      <c r="N371">
        <v>7991</v>
      </c>
      <c r="R371">
        <v>2851428</v>
      </c>
      <c r="T371">
        <v>4150844</v>
      </c>
    </row>
    <row r="372" spans="1:21" x14ac:dyDescent="0.3">
      <c r="A372" s="1">
        <v>45584</v>
      </c>
      <c r="B372">
        <v>65</v>
      </c>
      <c r="C372">
        <v>1855.62199199003</v>
      </c>
      <c r="D372">
        <v>1814.9514740536599</v>
      </c>
      <c r="E372">
        <v>33</v>
      </c>
      <c r="F372">
        <v>33</v>
      </c>
      <c r="K372">
        <v>0.57221058236112399</v>
      </c>
      <c r="L372">
        <v>1.6389984634824899</v>
      </c>
      <c r="M372">
        <v>0.25011158278656997</v>
      </c>
      <c r="N372">
        <v>3077</v>
      </c>
      <c r="R372">
        <v>1766331</v>
      </c>
      <c r="T372">
        <v>3231014</v>
      </c>
      <c r="U372">
        <v>33803</v>
      </c>
    </row>
    <row r="373" spans="1:21" x14ac:dyDescent="0.3">
      <c r="A373" s="1">
        <v>45585</v>
      </c>
      <c r="B373">
        <v>100</v>
      </c>
      <c r="C373">
        <v>1652.7109086838</v>
      </c>
      <c r="D373">
        <v>4066.98998581653</v>
      </c>
      <c r="E373">
        <v>3</v>
      </c>
      <c r="F373">
        <v>3</v>
      </c>
      <c r="K373">
        <v>0.43666406496194698</v>
      </c>
      <c r="L373">
        <v>1.5537676317932001</v>
      </c>
      <c r="M373">
        <v>0.28273483271525301</v>
      </c>
      <c r="N373">
        <v>6622</v>
      </c>
      <c r="T373">
        <v>1559367</v>
      </c>
    </row>
    <row r="374" spans="1:21" x14ac:dyDescent="0.3">
      <c r="A374" s="1">
        <v>45586</v>
      </c>
      <c r="B374">
        <v>144</v>
      </c>
      <c r="C374">
        <v>2033.5051970679699</v>
      </c>
      <c r="D374">
        <v>5616.8665313679503</v>
      </c>
      <c r="E374">
        <v>73</v>
      </c>
      <c r="F374">
        <v>73</v>
      </c>
      <c r="K374">
        <v>0.54326241798420205</v>
      </c>
      <c r="L374">
        <v>1.6130178035060001</v>
      </c>
      <c r="M374">
        <v>0.26635536297512902</v>
      </c>
      <c r="N374">
        <v>8150</v>
      </c>
      <c r="R374">
        <v>2593345</v>
      </c>
      <c r="T374">
        <v>5613512</v>
      </c>
    </row>
    <row r="375" spans="1:21" x14ac:dyDescent="0.3">
      <c r="A375" s="1">
        <v>45587</v>
      </c>
      <c r="B375">
        <v>97</v>
      </c>
      <c r="C375">
        <v>1838.99442533765</v>
      </c>
      <c r="D375">
        <v>2938.2115077017902</v>
      </c>
      <c r="E375">
        <v>48</v>
      </c>
      <c r="F375">
        <v>48</v>
      </c>
      <c r="K375">
        <v>0.58030943140983604</v>
      </c>
      <c r="L375">
        <v>1.4556607737874701</v>
      </c>
      <c r="M375">
        <v>0.25011158278656997</v>
      </c>
      <c r="N375">
        <v>4483</v>
      </c>
      <c r="R375">
        <v>2333477</v>
      </c>
      <c r="T375">
        <v>2403569</v>
      </c>
    </row>
    <row r="376" spans="1:21" x14ac:dyDescent="0.3">
      <c r="A376" s="1">
        <v>45588</v>
      </c>
      <c r="B376">
        <v>88</v>
      </c>
      <c r="C376">
        <v>1851.5812218639501</v>
      </c>
      <c r="D376">
        <v>3124.15595112138</v>
      </c>
      <c r="E376">
        <v>40</v>
      </c>
      <c r="F376">
        <v>40</v>
      </c>
      <c r="K376">
        <v>0.55450351065077996</v>
      </c>
      <c r="L376">
        <v>2.10830079365949</v>
      </c>
      <c r="M376">
        <v>0.25011158278656997</v>
      </c>
      <c r="N376">
        <v>4807</v>
      </c>
      <c r="R376">
        <v>1669206</v>
      </c>
      <c r="T376">
        <v>3339867</v>
      </c>
    </row>
    <row r="377" spans="1:21" x14ac:dyDescent="0.3">
      <c r="A377" s="1">
        <v>45589</v>
      </c>
      <c r="B377">
        <v>88</v>
      </c>
      <c r="C377">
        <v>1858.5572261573</v>
      </c>
      <c r="D377">
        <v>3675.9663888916898</v>
      </c>
      <c r="E377">
        <v>41</v>
      </c>
      <c r="F377">
        <v>41</v>
      </c>
      <c r="K377">
        <v>0.93587600911817503</v>
      </c>
      <c r="L377">
        <v>1.7500700887988001</v>
      </c>
      <c r="M377">
        <v>0.25011158278656997</v>
      </c>
      <c r="N377">
        <v>5534</v>
      </c>
      <c r="R377">
        <v>1337537</v>
      </c>
      <c r="T377">
        <v>3819756</v>
      </c>
    </row>
    <row r="378" spans="1:21" x14ac:dyDescent="0.3">
      <c r="A378" s="1">
        <v>45590</v>
      </c>
      <c r="B378">
        <v>130</v>
      </c>
      <c r="C378">
        <v>1959.09295238155</v>
      </c>
      <c r="D378">
        <v>4722.3762106232998</v>
      </c>
      <c r="E378">
        <v>58</v>
      </c>
      <c r="F378">
        <v>58</v>
      </c>
      <c r="K378">
        <v>0.51622699277055095</v>
      </c>
      <c r="L378">
        <v>1.52093083418982</v>
      </c>
      <c r="M378">
        <v>0.25011158278656997</v>
      </c>
      <c r="N378">
        <v>7203</v>
      </c>
      <c r="R378">
        <v>2367310</v>
      </c>
      <c r="T378">
        <v>4520964</v>
      </c>
    </row>
    <row r="379" spans="1:21" x14ac:dyDescent="0.3">
      <c r="A379" s="1">
        <v>45591</v>
      </c>
      <c r="B379">
        <v>70</v>
      </c>
      <c r="C379">
        <v>1701.87509109807</v>
      </c>
      <c r="D379">
        <v>2558.1464039348398</v>
      </c>
      <c r="E379">
        <v>15</v>
      </c>
      <c r="F379">
        <v>15</v>
      </c>
      <c r="K379">
        <v>0.54991241828399995</v>
      </c>
      <c r="L379">
        <v>1.6300180957858701</v>
      </c>
      <c r="M379">
        <v>0.26098599942946399</v>
      </c>
      <c r="N379">
        <v>4030</v>
      </c>
      <c r="R379">
        <v>614566</v>
      </c>
      <c r="T379">
        <v>1783549</v>
      </c>
    </row>
    <row r="380" spans="1:21" x14ac:dyDescent="0.3">
      <c r="A380" s="1">
        <v>45592</v>
      </c>
      <c r="B380">
        <v>56</v>
      </c>
      <c r="C380">
        <v>1732.2061338319199</v>
      </c>
      <c r="D380">
        <v>3013.5457077504502</v>
      </c>
      <c r="E380">
        <v>20</v>
      </c>
      <c r="F380">
        <v>20</v>
      </c>
      <c r="K380">
        <v>0.400985575939244</v>
      </c>
      <c r="L380">
        <v>1.4050260926279099</v>
      </c>
      <c r="M380">
        <v>0.271860416072358</v>
      </c>
      <c r="N380">
        <v>4656</v>
      </c>
      <c r="T380">
        <v>2984863</v>
      </c>
    </row>
    <row r="381" spans="1:21" x14ac:dyDescent="0.3">
      <c r="A381" s="1">
        <v>45593</v>
      </c>
      <c r="B381">
        <v>109</v>
      </c>
      <c r="C381">
        <v>1908.98477491112</v>
      </c>
      <c r="D381">
        <v>3749.3865463162401</v>
      </c>
      <c r="E381">
        <v>54</v>
      </c>
      <c r="F381">
        <v>54</v>
      </c>
      <c r="K381">
        <v>0.46177585465139398</v>
      </c>
      <c r="L381">
        <v>1.4486839064291199</v>
      </c>
      <c r="M381">
        <v>0.266680311008892</v>
      </c>
      <c r="N381">
        <v>5639</v>
      </c>
      <c r="R381">
        <v>2223768</v>
      </c>
      <c r="T381">
        <v>3775985</v>
      </c>
    </row>
    <row r="382" spans="1:21" x14ac:dyDescent="0.3">
      <c r="A382" s="1">
        <v>45594</v>
      </c>
      <c r="C382">
        <v>1570.84423980613</v>
      </c>
      <c r="D382">
        <v>79.600729825986605</v>
      </c>
      <c r="K382">
        <v>0.38102050131561999</v>
      </c>
      <c r="L382">
        <v>0.45889356756075</v>
      </c>
      <c r="M382">
        <v>0.26098599942946399</v>
      </c>
      <c r="N382">
        <v>231</v>
      </c>
      <c r="T382">
        <v>91349</v>
      </c>
    </row>
    <row r="383" spans="1:21" x14ac:dyDescent="0.3">
      <c r="A383" s="1">
        <v>45595</v>
      </c>
      <c r="B383">
        <v>102</v>
      </c>
      <c r="C383">
        <v>1762.56594341447</v>
      </c>
      <c r="D383">
        <v>5135.2988944687104</v>
      </c>
      <c r="E383">
        <v>52</v>
      </c>
      <c r="F383">
        <v>32</v>
      </c>
      <c r="K383">
        <v>0.45941763654108603</v>
      </c>
      <c r="L383">
        <v>2.3367783416637899</v>
      </c>
      <c r="M383">
        <v>0.28273483271525301</v>
      </c>
      <c r="N383">
        <v>6999</v>
      </c>
      <c r="T383">
        <v>3453074</v>
      </c>
    </row>
    <row r="384" spans="1:21" x14ac:dyDescent="0.3">
      <c r="A384" s="1">
        <v>45596</v>
      </c>
      <c r="B384">
        <v>47</v>
      </c>
      <c r="C384">
        <v>1725.6176260059999</v>
      </c>
      <c r="D384">
        <v>2810.1839380868801</v>
      </c>
      <c r="E384">
        <v>16</v>
      </c>
      <c r="F384">
        <v>16</v>
      </c>
      <c r="K384">
        <v>0.44245770408280799</v>
      </c>
      <c r="L384">
        <v>1.7522174968192501</v>
      </c>
      <c r="M384">
        <v>0.25193109135531699</v>
      </c>
      <c r="N384">
        <v>4299</v>
      </c>
      <c r="T384">
        <v>2866719</v>
      </c>
    </row>
    <row r="385" spans="1:21" x14ac:dyDescent="0.3">
      <c r="A385" s="1">
        <v>45597</v>
      </c>
      <c r="B385">
        <v>119</v>
      </c>
      <c r="C385">
        <v>1728.83953149183</v>
      </c>
      <c r="D385">
        <v>5079.5670045472098</v>
      </c>
      <c r="E385">
        <v>33</v>
      </c>
      <c r="F385">
        <v>19</v>
      </c>
      <c r="K385">
        <v>0.44839874536843199</v>
      </c>
      <c r="L385">
        <v>2.2717521137529002</v>
      </c>
      <c r="M385">
        <v>0.271860416072358</v>
      </c>
      <c r="N385">
        <v>7547</v>
      </c>
      <c r="T385">
        <v>2611052</v>
      </c>
      <c r="U385">
        <v>136868</v>
      </c>
    </row>
    <row r="386" spans="1:21" x14ac:dyDescent="0.3">
      <c r="A386" s="1">
        <v>45598</v>
      </c>
      <c r="B386">
        <v>32</v>
      </c>
      <c r="C386">
        <v>1651.3852701388801</v>
      </c>
      <c r="D386">
        <v>685.43414036007005</v>
      </c>
      <c r="E386">
        <v>12</v>
      </c>
      <c r="F386">
        <v>12</v>
      </c>
      <c r="K386">
        <v>0.36672195937417101</v>
      </c>
      <c r="L386">
        <v>1.0007415577738299</v>
      </c>
      <c r="M386">
        <v>0.30448366600104099</v>
      </c>
      <c r="N386">
        <v>1255</v>
      </c>
      <c r="R386">
        <v>802990</v>
      </c>
      <c r="T386">
        <v>676610</v>
      </c>
    </row>
    <row r="387" spans="1:21" x14ac:dyDescent="0.3">
      <c r="A387" s="1">
        <v>45599</v>
      </c>
      <c r="B387">
        <v>73</v>
      </c>
      <c r="C387">
        <v>1758.72878086581</v>
      </c>
      <c r="D387">
        <v>3864.6222211494401</v>
      </c>
      <c r="E387">
        <v>24</v>
      </c>
      <c r="F387">
        <v>23</v>
      </c>
      <c r="K387">
        <v>0.58779518763577099</v>
      </c>
      <c r="L387">
        <v>1.9648941795383901</v>
      </c>
      <c r="M387">
        <v>0.26098599942946399</v>
      </c>
      <c r="N387">
        <v>5711</v>
      </c>
      <c r="T387">
        <v>3460460</v>
      </c>
    </row>
    <row r="388" spans="1:21" x14ac:dyDescent="0.3">
      <c r="A388" s="1">
        <v>45600</v>
      </c>
      <c r="B388">
        <v>152</v>
      </c>
      <c r="C388">
        <v>2035.4387956016999</v>
      </c>
      <c r="D388">
        <v>5760.5792783426296</v>
      </c>
      <c r="E388">
        <v>77</v>
      </c>
      <c r="F388">
        <v>73</v>
      </c>
      <c r="K388">
        <v>0.50777335738343699</v>
      </c>
      <c r="L388">
        <v>2.2362404864025298</v>
      </c>
      <c r="M388">
        <v>0.26098599942946399</v>
      </c>
      <c r="N388">
        <v>8394</v>
      </c>
      <c r="R388">
        <v>2716483</v>
      </c>
      <c r="T388">
        <v>5455329</v>
      </c>
    </row>
    <row r="389" spans="1:21" x14ac:dyDescent="0.3">
      <c r="A389" s="1">
        <v>45601</v>
      </c>
      <c r="B389">
        <v>189</v>
      </c>
      <c r="C389">
        <v>2234.7943624733798</v>
      </c>
      <c r="D389">
        <v>10064.440988528801</v>
      </c>
      <c r="E389">
        <v>149</v>
      </c>
      <c r="F389">
        <v>126</v>
      </c>
      <c r="K389">
        <v>0.58695629460813303</v>
      </c>
      <c r="L389">
        <v>2.3191369763992502</v>
      </c>
      <c r="M389">
        <v>0.26098599942946399</v>
      </c>
      <c r="N389">
        <v>13951</v>
      </c>
      <c r="R389">
        <v>3156290</v>
      </c>
      <c r="T389">
        <v>8504497</v>
      </c>
    </row>
    <row r="390" spans="1:21" x14ac:dyDescent="0.3">
      <c r="A390" s="1">
        <v>45602</v>
      </c>
      <c r="B390">
        <v>82</v>
      </c>
      <c r="C390">
        <v>1789.53440828162</v>
      </c>
      <c r="D390">
        <v>3796.9138256153601</v>
      </c>
      <c r="E390">
        <v>26</v>
      </c>
      <c r="F390">
        <v>26</v>
      </c>
      <c r="K390">
        <v>0.52176749098455799</v>
      </c>
      <c r="L390">
        <v>1.5265427962423399</v>
      </c>
      <c r="M390">
        <v>0.24901800068987201</v>
      </c>
      <c r="N390">
        <v>5715</v>
      </c>
      <c r="R390">
        <v>473340</v>
      </c>
      <c r="T390">
        <v>3506515</v>
      </c>
    </row>
    <row r="391" spans="1:21" x14ac:dyDescent="0.3">
      <c r="A391" s="1">
        <v>45603</v>
      </c>
      <c r="B391">
        <v>158</v>
      </c>
      <c r="C391">
        <v>2001.26932905954</v>
      </c>
      <c r="D391">
        <v>7373.3748951043399</v>
      </c>
      <c r="E391">
        <v>44</v>
      </c>
      <c r="F391">
        <v>44</v>
      </c>
      <c r="K391">
        <v>0.614031692407083</v>
      </c>
      <c r="L391">
        <v>1.6391023917099099</v>
      </c>
      <c r="M391">
        <v>0.24922366156928699</v>
      </c>
      <c r="N391">
        <v>11141</v>
      </c>
      <c r="R391">
        <v>945377</v>
      </c>
      <c r="T391">
        <v>6798210</v>
      </c>
    </row>
    <row r="392" spans="1:21" x14ac:dyDescent="0.3">
      <c r="A392" s="1">
        <v>45604</v>
      </c>
      <c r="B392">
        <v>183</v>
      </c>
      <c r="C392">
        <v>2182.3525916697799</v>
      </c>
      <c r="D392">
        <v>7726.0443849458397</v>
      </c>
      <c r="E392">
        <v>90</v>
      </c>
      <c r="F392">
        <v>90</v>
      </c>
      <c r="K392">
        <v>0.62667608812056896</v>
      </c>
      <c r="L392">
        <v>1.54444422501103</v>
      </c>
      <c r="M392">
        <v>0.32276915198286599</v>
      </c>
      <c r="N392">
        <v>11238</v>
      </c>
      <c r="R392">
        <v>2731281</v>
      </c>
      <c r="T392">
        <v>8135064</v>
      </c>
    </row>
    <row r="393" spans="1:21" x14ac:dyDescent="0.3">
      <c r="A393" s="1">
        <v>45605</v>
      </c>
      <c r="B393">
        <v>179</v>
      </c>
      <c r="C393">
        <v>2159.117614711</v>
      </c>
      <c r="D393">
        <v>8346.1546366330404</v>
      </c>
      <c r="E393">
        <v>97</v>
      </c>
      <c r="F393">
        <v>97</v>
      </c>
      <c r="K393">
        <v>0.66193445924145899</v>
      </c>
      <c r="L393">
        <v>1.48043396159192</v>
      </c>
      <c r="M393">
        <v>0.25011158278656997</v>
      </c>
      <c r="N393">
        <v>12098</v>
      </c>
      <c r="R393">
        <v>2667231</v>
      </c>
      <c r="T393">
        <v>7786933</v>
      </c>
    </row>
    <row r="394" spans="1:21" x14ac:dyDescent="0.3">
      <c r="A394" s="1">
        <v>45606</v>
      </c>
      <c r="B394">
        <v>37</v>
      </c>
      <c r="C394">
        <v>1706.5773609753301</v>
      </c>
      <c r="D394">
        <v>2240.1295796352501</v>
      </c>
      <c r="E394">
        <v>17</v>
      </c>
      <c r="F394">
        <v>17</v>
      </c>
      <c r="K394">
        <v>0.38574463096163802</v>
      </c>
      <c r="L394">
        <v>1.41289550939104</v>
      </c>
      <c r="M394">
        <v>0.25011158278656997</v>
      </c>
      <c r="N394">
        <v>3361</v>
      </c>
      <c r="T394">
        <v>2525292</v>
      </c>
    </row>
    <row r="395" spans="1:21" x14ac:dyDescent="0.3">
      <c r="A395" s="1">
        <v>45607</v>
      </c>
      <c r="B395">
        <v>92</v>
      </c>
      <c r="C395">
        <v>1807.11276321946</v>
      </c>
      <c r="D395">
        <v>2988.15422689046</v>
      </c>
      <c r="E395">
        <v>33</v>
      </c>
      <c r="F395">
        <v>33</v>
      </c>
      <c r="K395">
        <v>0.637719350787748</v>
      </c>
      <c r="L395">
        <v>1.4141465007979599</v>
      </c>
      <c r="M395">
        <v>0.32623246588062499</v>
      </c>
      <c r="N395">
        <v>4631</v>
      </c>
      <c r="R395">
        <v>1664866</v>
      </c>
      <c r="T395">
        <v>2547110</v>
      </c>
    </row>
    <row r="396" spans="1:21" x14ac:dyDescent="0.3">
      <c r="A396" s="1">
        <v>45608</v>
      </c>
      <c r="B396">
        <v>22</v>
      </c>
      <c r="C396">
        <v>1638.48369237618</v>
      </c>
      <c r="D396">
        <v>1032.6490560028001</v>
      </c>
      <c r="E396">
        <v>3</v>
      </c>
      <c r="F396">
        <v>3</v>
      </c>
      <c r="K396">
        <v>0.37105716394126398</v>
      </c>
      <c r="L396">
        <v>1.60953366923026</v>
      </c>
      <c r="M396">
        <v>0.259732113793886</v>
      </c>
      <c r="N396">
        <v>1691</v>
      </c>
      <c r="T396">
        <v>1304248</v>
      </c>
    </row>
    <row r="397" spans="1:21" x14ac:dyDescent="0.3">
      <c r="A397" s="1">
        <v>45609</v>
      </c>
      <c r="B397">
        <v>96</v>
      </c>
      <c r="C397">
        <v>1868.2789735884501</v>
      </c>
      <c r="D397">
        <v>3056.6336722024498</v>
      </c>
      <c r="E397">
        <v>52</v>
      </c>
      <c r="F397">
        <v>52</v>
      </c>
      <c r="K397">
        <v>0.50118283101855898</v>
      </c>
      <c r="L397">
        <v>1.5871554708396101</v>
      </c>
      <c r="M397">
        <v>0.27844637446555998</v>
      </c>
      <c r="N397">
        <v>4672</v>
      </c>
      <c r="R397">
        <v>2274224</v>
      </c>
      <c r="T397">
        <v>2992080</v>
      </c>
    </row>
    <row r="398" spans="1:21" x14ac:dyDescent="0.3">
      <c r="A398" s="1">
        <v>45610</v>
      </c>
      <c r="B398">
        <v>119</v>
      </c>
      <c r="C398">
        <v>1900.2898958199701</v>
      </c>
      <c r="D398">
        <v>5129.0192220173903</v>
      </c>
      <c r="E398">
        <v>66</v>
      </c>
      <c r="F398">
        <v>65</v>
      </c>
      <c r="K398">
        <v>0.62092962375713701</v>
      </c>
      <c r="L398">
        <v>1.7614451609670301</v>
      </c>
      <c r="M398">
        <v>0.24849895593641</v>
      </c>
      <c r="N398">
        <v>7474</v>
      </c>
      <c r="R398">
        <v>2081737</v>
      </c>
      <c r="T398">
        <v>3772005</v>
      </c>
    </row>
    <row r="399" spans="1:21" x14ac:dyDescent="0.3">
      <c r="A399" s="1">
        <v>45611</v>
      </c>
      <c r="B399">
        <v>1</v>
      </c>
      <c r="C399">
        <v>1565.75</v>
      </c>
      <c r="D399">
        <v>107.656724764654</v>
      </c>
      <c r="K399">
        <v>0.31581920549199999</v>
      </c>
      <c r="L399">
        <v>0.62609840985356402</v>
      </c>
      <c r="M399">
        <v>0.28273483271525301</v>
      </c>
      <c r="N399">
        <v>232</v>
      </c>
    </row>
    <row r="400" spans="1:21" x14ac:dyDescent="0.3">
      <c r="A400" s="1">
        <v>45612</v>
      </c>
      <c r="B400">
        <v>77</v>
      </c>
      <c r="C400">
        <v>1799.6188361857901</v>
      </c>
      <c r="D400">
        <v>2648.3735444598501</v>
      </c>
      <c r="E400">
        <v>42</v>
      </c>
      <c r="F400">
        <v>42</v>
      </c>
      <c r="K400">
        <v>0.64511397235756096</v>
      </c>
      <c r="L400">
        <v>1.4693784981005</v>
      </c>
      <c r="M400">
        <v>0.24669015625516999</v>
      </c>
      <c r="N400">
        <v>4088</v>
      </c>
      <c r="R400">
        <v>1823860</v>
      </c>
      <c r="T400">
        <v>2242648</v>
      </c>
    </row>
    <row r="401" spans="1:21" x14ac:dyDescent="0.3">
      <c r="A401" s="1">
        <v>45613</v>
      </c>
      <c r="B401">
        <v>31</v>
      </c>
      <c r="C401">
        <v>1621.0831168233599</v>
      </c>
      <c r="D401">
        <v>1224.47083569193</v>
      </c>
      <c r="E401">
        <v>4</v>
      </c>
      <c r="F401">
        <v>4</v>
      </c>
      <c r="K401">
        <v>0.44821341709648299</v>
      </c>
      <c r="L401">
        <v>1.35593334441568</v>
      </c>
      <c r="M401">
        <v>0.26098599942946399</v>
      </c>
      <c r="N401">
        <v>2020</v>
      </c>
      <c r="T401">
        <v>992224</v>
      </c>
    </row>
    <row r="402" spans="1:21" x14ac:dyDescent="0.3">
      <c r="A402" s="1">
        <v>45614</v>
      </c>
      <c r="B402">
        <v>72</v>
      </c>
      <c r="C402">
        <v>1763.43579804666</v>
      </c>
      <c r="D402">
        <v>2093.5973256195098</v>
      </c>
      <c r="E402">
        <v>17</v>
      </c>
      <c r="F402">
        <v>17</v>
      </c>
      <c r="K402">
        <v>0.43934452718480999</v>
      </c>
      <c r="L402">
        <v>1.4099101256872999</v>
      </c>
      <c r="M402">
        <v>0.28273483271525301</v>
      </c>
      <c r="N402">
        <v>3269</v>
      </c>
      <c r="R402">
        <v>1090767</v>
      </c>
      <c r="T402">
        <v>2378032</v>
      </c>
    </row>
    <row r="403" spans="1:21" x14ac:dyDescent="0.3">
      <c r="A403" s="1">
        <v>45615</v>
      </c>
      <c r="B403">
        <v>57</v>
      </c>
      <c r="C403">
        <v>1740.70589464319</v>
      </c>
      <c r="D403">
        <v>1758.0982731341801</v>
      </c>
      <c r="E403">
        <v>30</v>
      </c>
      <c r="F403">
        <v>30</v>
      </c>
      <c r="K403">
        <v>0.44207728940323898</v>
      </c>
      <c r="L403">
        <v>1.6543376799926499</v>
      </c>
      <c r="M403">
        <v>0.271860416072358</v>
      </c>
      <c r="N403">
        <v>2737</v>
      </c>
      <c r="R403">
        <v>1626444</v>
      </c>
      <c r="T403">
        <v>1397415</v>
      </c>
    </row>
    <row r="404" spans="1:21" x14ac:dyDescent="0.3">
      <c r="A404" s="1">
        <v>45616</v>
      </c>
      <c r="B404">
        <v>183</v>
      </c>
      <c r="C404">
        <v>2118.9879925640098</v>
      </c>
      <c r="D404">
        <v>9427.4864187597996</v>
      </c>
      <c r="E404">
        <v>80</v>
      </c>
      <c r="F404">
        <v>80</v>
      </c>
      <c r="K404">
        <v>0.76218265548081199</v>
      </c>
      <c r="L404">
        <v>1.5044248783582801</v>
      </c>
      <c r="M404">
        <v>0.25011158278656997</v>
      </c>
      <c r="N404">
        <v>13837</v>
      </c>
      <c r="R404">
        <v>960318</v>
      </c>
      <c r="T404">
        <v>8738455</v>
      </c>
      <c r="U404">
        <v>67607</v>
      </c>
    </row>
    <row r="405" spans="1:21" x14ac:dyDescent="0.3">
      <c r="A405" s="1">
        <v>45617</v>
      </c>
      <c r="B405">
        <v>90</v>
      </c>
      <c r="C405">
        <v>1794.23758312165</v>
      </c>
      <c r="D405">
        <v>3855.0580294937099</v>
      </c>
      <c r="E405">
        <v>40</v>
      </c>
      <c r="F405">
        <v>40</v>
      </c>
      <c r="K405">
        <v>0.597778376894335</v>
      </c>
      <c r="L405">
        <v>1.6013431509903799</v>
      </c>
      <c r="M405">
        <v>0.24839536162935999</v>
      </c>
      <c r="N405">
        <v>5797</v>
      </c>
      <c r="R405">
        <v>1261791</v>
      </c>
      <c r="T405">
        <v>2747417</v>
      </c>
    </row>
    <row r="406" spans="1:21" x14ac:dyDescent="0.3">
      <c r="A406" s="1">
        <v>45618</v>
      </c>
      <c r="B406">
        <v>86</v>
      </c>
      <c r="C406">
        <v>1783.56922613752</v>
      </c>
      <c r="D406">
        <v>3577.3434589448698</v>
      </c>
      <c r="E406">
        <v>19</v>
      </c>
      <c r="F406">
        <v>19</v>
      </c>
      <c r="K406">
        <v>0.41792407597338699</v>
      </c>
      <c r="L406">
        <v>1.5749600381637501</v>
      </c>
      <c r="M406">
        <v>0.25011158278656997</v>
      </c>
      <c r="N406">
        <v>5411</v>
      </c>
      <c r="R406">
        <v>591035</v>
      </c>
      <c r="T406">
        <v>3273645</v>
      </c>
    </row>
    <row r="407" spans="1:21" x14ac:dyDescent="0.3">
      <c r="A407" s="1">
        <v>45619</v>
      </c>
      <c r="B407">
        <v>145</v>
      </c>
      <c r="C407">
        <v>1974.0056546261001</v>
      </c>
      <c r="D407">
        <v>5925.9954365415197</v>
      </c>
      <c r="E407">
        <v>51</v>
      </c>
      <c r="F407">
        <v>51</v>
      </c>
      <c r="K407">
        <v>0.60383925330504695</v>
      </c>
      <c r="L407">
        <v>1.4564448351905901</v>
      </c>
      <c r="M407">
        <v>0.25011158278656997</v>
      </c>
      <c r="N407">
        <v>8938</v>
      </c>
      <c r="R407">
        <v>1846464</v>
      </c>
      <c r="T407">
        <v>5345540</v>
      </c>
    </row>
    <row r="408" spans="1:21" x14ac:dyDescent="0.3">
      <c r="A408" s="1">
        <v>45620</v>
      </c>
      <c r="B408">
        <v>3</v>
      </c>
      <c r="C408">
        <v>1581.8524911197901</v>
      </c>
      <c r="D408">
        <v>118.748629740406</v>
      </c>
      <c r="K408">
        <v>0.31813061226900502</v>
      </c>
      <c r="L408">
        <v>0.32623247820524398</v>
      </c>
      <c r="M408">
        <v>0.271860416072358</v>
      </c>
      <c r="N408">
        <v>206</v>
      </c>
      <c r="T408">
        <v>288747</v>
      </c>
    </row>
    <row r="409" spans="1:21" x14ac:dyDescent="0.3">
      <c r="A409" s="1">
        <v>45621</v>
      </c>
      <c r="B409">
        <v>141</v>
      </c>
      <c r="C409">
        <v>1953.43696266085</v>
      </c>
      <c r="D409">
        <v>5617.8058812314102</v>
      </c>
      <c r="E409">
        <v>73</v>
      </c>
      <c r="F409">
        <v>73</v>
      </c>
      <c r="K409">
        <v>0.63813811695340295</v>
      </c>
      <c r="L409">
        <v>1.5952984733133599</v>
      </c>
      <c r="M409">
        <v>0.26080687619758303</v>
      </c>
      <c r="N409">
        <v>8362</v>
      </c>
      <c r="R409">
        <v>2594934</v>
      </c>
      <c r="T409">
        <v>4176042</v>
      </c>
    </row>
    <row r="410" spans="1:21" x14ac:dyDescent="0.3">
      <c r="A410" s="1">
        <v>45622</v>
      </c>
      <c r="B410">
        <v>89</v>
      </c>
      <c r="C410">
        <v>1832.1318234436201</v>
      </c>
      <c r="D410">
        <v>2996.7138922416998</v>
      </c>
      <c r="E410">
        <v>40</v>
      </c>
      <c r="F410">
        <v>40</v>
      </c>
      <c r="K410">
        <v>0.445291174427212</v>
      </c>
      <c r="L410">
        <v>1.48027628922677</v>
      </c>
      <c r="M410">
        <v>0.25011158278656997</v>
      </c>
      <c r="N410">
        <v>4684</v>
      </c>
      <c r="R410">
        <v>1716992</v>
      </c>
      <c r="T410">
        <v>2939986</v>
      </c>
    </row>
    <row r="411" spans="1:21" x14ac:dyDescent="0.3">
      <c r="A411" s="1">
        <v>45623</v>
      </c>
      <c r="B411">
        <v>84</v>
      </c>
      <c r="C411">
        <v>1768.3016101629401</v>
      </c>
      <c r="D411">
        <v>2604.0580308980002</v>
      </c>
      <c r="E411">
        <v>43</v>
      </c>
      <c r="F411">
        <v>43</v>
      </c>
      <c r="K411">
        <v>0.56253270232067798</v>
      </c>
      <c r="L411">
        <v>1.46072981306682</v>
      </c>
      <c r="M411">
        <v>0.25785084706258898</v>
      </c>
      <c r="N411">
        <v>4004</v>
      </c>
      <c r="R411">
        <v>2057678</v>
      </c>
      <c r="T411">
        <v>1430950</v>
      </c>
    </row>
    <row r="412" spans="1:21" x14ac:dyDescent="0.3">
      <c r="A412" s="1">
        <v>45624</v>
      </c>
      <c r="B412">
        <v>141</v>
      </c>
      <c r="C412">
        <v>1909.6992477234201</v>
      </c>
      <c r="D412">
        <v>6934.71061933282</v>
      </c>
      <c r="E412">
        <v>56</v>
      </c>
      <c r="F412">
        <v>56</v>
      </c>
      <c r="K412">
        <v>0.61542836097535303</v>
      </c>
      <c r="L412">
        <v>1.6757260385457999</v>
      </c>
      <c r="M412">
        <v>0.25011158278656997</v>
      </c>
      <c r="N412">
        <v>10178</v>
      </c>
      <c r="R412">
        <v>1113095</v>
      </c>
      <c r="T412">
        <v>4976909</v>
      </c>
    </row>
    <row r="413" spans="1:21" x14ac:dyDescent="0.3">
      <c r="A413" s="1">
        <v>45625</v>
      </c>
      <c r="B413">
        <v>7</v>
      </c>
      <c r="C413">
        <v>1575.2065405931701</v>
      </c>
      <c r="D413">
        <v>316.92362044019899</v>
      </c>
      <c r="K413">
        <v>0.40816038653127301</v>
      </c>
      <c r="L413">
        <v>2.4069255840248802</v>
      </c>
      <c r="M413">
        <v>0.28273483271525301</v>
      </c>
      <c r="N413">
        <v>533</v>
      </c>
      <c r="T413">
        <v>169573</v>
      </c>
    </row>
    <row r="414" spans="1:21" x14ac:dyDescent="0.3">
      <c r="A414" s="1">
        <v>45626</v>
      </c>
      <c r="B414">
        <v>7</v>
      </c>
      <c r="C414">
        <v>1600.38408303543</v>
      </c>
      <c r="D414">
        <v>291.234984386223</v>
      </c>
      <c r="K414">
        <v>0.38862478492679298</v>
      </c>
      <c r="L414">
        <v>1.2536596219252101</v>
      </c>
      <c r="M414">
        <v>0.26098599942946399</v>
      </c>
      <c r="N414">
        <v>619</v>
      </c>
      <c r="T414">
        <v>621053</v>
      </c>
    </row>
    <row r="415" spans="1:21" x14ac:dyDescent="0.3">
      <c r="A415" s="1">
        <v>45627</v>
      </c>
      <c r="B415">
        <v>59</v>
      </c>
      <c r="C415">
        <v>1739.51349874928</v>
      </c>
      <c r="D415">
        <v>2672.1003883826202</v>
      </c>
      <c r="E415">
        <v>19</v>
      </c>
      <c r="F415">
        <v>16</v>
      </c>
      <c r="K415">
        <v>0.39133444992038502</v>
      </c>
      <c r="L415">
        <v>1.9161390904147</v>
      </c>
      <c r="M415">
        <v>0.26769719397249703</v>
      </c>
      <c r="N415">
        <v>3919</v>
      </c>
      <c r="R415">
        <v>580671</v>
      </c>
      <c r="T415">
        <v>2493145</v>
      </c>
    </row>
    <row r="416" spans="1:21" x14ac:dyDescent="0.3">
      <c r="A416" s="1">
        <v>45628</v>
      </c>
      <c r="B416">
        <v>11</v>
      </c>
      <c r="C416">
        <v>1565.75</v>
      </c>
      <c r="D416">
        <v>577.93162511380297</v>
      </c>
      <c r="E416">
        <v>1</v>
      </c>
      <c r="F416">
        <v>1</v>
      </c>
      <c r="K416">
        <v>0.33502833909568502</v>
      </c>
      <c r="L416">
        <v>1.7670722233251599</v>
      </c>
      <c r="M416">
        <v>0.32623246768636599</v>
      </c>
      <c r="N416">
        <v>1051</v>
      </c>
    </row>
    <row r="417" spans="1:21" x14ac:dyDescent="0.3">
      <c r="A417" s="1">
        <v>45629</v>
      </c>
      <c r="B417">
        <v>70</v>
      </c>
      <c r="C417">
        <v>1777.1072886405</v>
      </c>
      <c r="D417">
        <v>2272.5186602764802</v>
      </c>
      <c r="E417">
        <v>43</v>
      </c>
      <c r="F417">
        <v>43</v>
      </c>
      <c r="K417">
        <v>0.54699592343820103</v>
      </c>
      <c r="L417">
        <v>1.8815726315480299</v>
      </c>
      <c r="M417">
        <v>0.309976508282367</v>
      </c>
      <c r="N417">
        <v>3426</v>
      </c>
      <c r="R417">
        <v>1832661</v>
      </c>
      <c r="T417">
        <v>1829559</v>
      </c>
    </row>
    <row r="418" spans="1:21" x14ac:dyDescent="0.3">
      <c r="A418" s="1">
        <v>45630</v>
      </c>
      <c r="B418">
        <v>114</v>
      </c>
      <c r="C418">
        <v>1916.4688339819099</v>
      </c>
      <c r="D418">
        <v>2625.3591837649301</v>
      </c>
      <c r="E418">
        <v>67</v>
      </c>
      <c r="F418">
        <v>67</v>
      </c>
      <c r="K418">
        <v>0.50731791737786702</v>
      </c>
      <c r="L418">
        <v>1.51956648883774</v>
      </c>
      <c r="M418">
        <v>0.25011158278656997</v>
      </c>
      <c r="N418">
        <v>4155</v>
      </c>
      <c r="R418">
        <v>3755644</v>
      </c>
      <c r="T418">
        <v>2271484</v>
      </c>
    </row>
    <row r="419" spans="1:21" x14ac:dyDescent="0.3">
      <c r="A419" s="1">
        <v>45631</v>
      </c>
      <c r="B419">
        <v>89</v>
      </c>
      <c r="C419">
        <v>1793.09742598002</v>
      </c>
      <c r="D419">
        <v>3322.5580087104299</v>
      </c>
      <c r="E419">
        <v>36</v>
      </c>
      <c r="F419">
        <v>36</v>
      </c>
      <c r="K419">
        <v>0.56423606223711398</v>
      </c>
      <c r="L419">
        <v>1.6409204340400001</v>
      </c>
      <c r="M419">
        <v>0.25011158278656997</v>
      </c>
      <c r="N419">
        <v>5127</v>
      </c>
      <c r="R419">
        <v>1503324</v>
      </c>
      <c r="T419">
        <v>2468596</v>
      </c>
    </row>
    <row r="420" spans="1:21" x14ac:dyDescent="0.3">
      <c r="A420" s="1">
        <v>45632</v>
      </c>
      <c r="C420">
        <v>1565.75</v>
      </c>
      <c r="D420">
        <v>33.275714927256701</v>
      </c>
      <c r="K420">
        <v>0.27729762439380501</v>
      </c>
      <c r="L420">
        <v>0.28273483271525301</v>
      </c>
      <c r="M420">
        <v>0.271860416072358</v>
      </c>
      <c r="N420">
        <v>74</v>
      </c>
    </row>
    <row r="421" spans="1:21" x14ac:dyDescent="0.3">
      <c r="A421" s="1">
        <v>45633</v>
      </c>
      <c r="B421">
        <v>54</v>
      </c>
      <c r="C421">
        <v>1712.57904069867</v>
      </c>
      <c r="D421">
        <v>2112.6662672177399</v>
      </c>
      <c r="E421">
        <v>25</v>
      </c>
      <c r="F421">
        <v>25</v>
      </c>
      <c r="K421">
        <v>0.44644726555089398</v>
      </c>
      <c r="L421">
        <v>1.4569064998612999</v>
      </c>
      <c r="M421">
        <v>0.271860416072358</v>
      </c>
      <c r="N421">
        <v>3133</v>
      </c>
      <c r="R421">
        <v>1010528</v>
      </c>
      <c r="T421">
        <v>1358388</v>
      </c>
      <c r="U421">
        <v>84506</v>
      </c>
    </row>
    <row r="422" spans="1:21" x14ac:dyDescent="0.3">
      <c r="A422" s="1">
        <v>45634</v>
      </c>
      <c r="B422">
        <v>33</v>
      </c>
      <c r="C422">
        <v>1617.9641985553801</v>
      </c>
      <c r="D422">
        <v>1248.6479493766101</v>
      </c>
      <c r="K422">
        <v>0.36083507411269999</v>
      </c>
      <c r="L422">
        <v>1.4938536204131201</v>
      </c>
      <c r="M422">
        <v>0.25011158278656997</v>
      </c>
      <c r="N422">
        <v>2055</v>
      </c>
      <c r="T422">
        <v>936296</v>
      </c>
    </row>
    <row r="423" spans="1:21" x14ac:dyDescent="0.3">
      <c r="A423" s="1">
        <v>45635</v>
      </c>
      <c r="B423">
        <v>2</v>
      </c>
      <c r="C423">
        <v>1565.75</v>
      </c>
      <c r="D423">
        <v>101.78453977749101</v>
      </c>
      <c r="K423">
        <v>0.31862876859104999</v>
      </c>
      <c r="L423">
        <v>0.61098355769825297</v>
      </c>
      <c r="M423">
        <v>0.26098599942946399</v>
      </c>
      <c r="N423">
        <v>247</v>
      </c>
    </row>
    <row r="424" spans="1:21" x14ac:dyDescent="0.3">
      <c r="A424" s="1">
        <v>45636</v>
      </c>
      <c r="B424">
        <v>127</v>
      </c>
      <c r="C424">
        <v>1955.2788822119901</v>
      </c>
      <c r="D424">
        <v>3934.3212293925599</v>
      </c>
      <c r="E424">
        <v>66</v>
      </c>
      <c r="F424">
        <v>66</v>
      </c>
      <c r="K424">
        <v>0.76501964136794898</v>
      </c>
      <c r="L424">
        <v>1.68064968323436</v>
      </c>
      <c r="M424">
        <v>0.25011158278656997</v>
      </c>
      <c r="N424">
        <v>5948</v>
      </c>
      <c r="R424">
        <v>2984026</v>
      </c>
      <c r="T424">
        <v>3792848</v>
      </c>
    </row>
    <row r="425" spans="1:21" x14ac:dyDescent="0.3">
      <c r="A425" s="1">
        <v>45637</v>
      </c>
      <c r="B425">
        <v>38</v>
      </c>
      <c r="C425">
        <v>1659.8557761111099</v>
      </c>
      <c r="D425">
        <v>1633.32702927129</v>
      </c>
      <c r="E425">
        <v>6</v>
      </c>
      <c r="F425">
        <v>6</v>
      </c>
      <c r="K425">
        <v>0.42262007371666699</v>
      </c>
      <c r="L425">
        <v>1.3792942989835899</v>
      </c>
      <c r="M425">
        <v>0.25011158278656997</v>
      </c>
      <c r="N425">
        <v>2628</v>
      </c>
      <c r="T425">
        <v>1687488</v>
      </c>
    </row>
    <row r="426" spans="1:21" x14ac:dyDescent="0.3">
      <c r="A426" s="1">
        <v>45638</v>
      </c>
      <c r="B426">
        <v>92</v>
      </c>
      <c r="C426">
        <v>1850.92949057739</v>
      </c>
      <c r="D426">
        <v>2956.1072730650399</v>
      </c>
      <c r="E426">
        <v>43</v>
      </c>
      <c r="F426">
        <v>43</v>
      </c>
      <c r="K426">
        <v>0.68400509380887997</v>
      </c>
      <c r="L426">
        <v>1.4893494715473801</v>
      </c>
      <c r="M426">
        <v>0.29360924935814697</v>
      </c>
      <c r="N426">
        <v>4424</v>
      </c>
      <c r="R426">
        <v>2083772</v>
      </c>
      <c r="T426">
        <v>2884705</v>
      </c>
    </row>
    <row r="427" spans="1:21" x14ac:dyDescent="0.3">
      <c r="A427" s="1">
        <v>45639</v>
      </c>
      <c r="B427">
        <v>117</v>
      </c>
      <c r="C427">
        <v>1956.67727098201</v>
      </c>
      <c r="D427">
        <v>2947.9006468571001</v>
      </c>
      <c r="E427">
        <v>66</v>
      </c>
      <c r="F427">
        <v>66</v>
      </c>
      <c r="K427">
        <v>0.44979291243448699</v>
      </c>
      <c r="L427">
        <v>1.6016058609411801</v>
      </c>
      <c r="M427">
        <v>0.25011158278656997</v>
      </c>
      <c r="N427">
        <v>4431</v>
      </c>
      <c r="R427">
        <v>3672398</v>
      </c>
      <c r="T427">
        <v>3081546</v>
      </c>
    </row>
    <row r="428" spans="1:21" x14ac:dyDescent="0.3">
      <c r="A428" s="1">
        <v>45640</v>
      </c>
      <c r="B428">
        <v>39</v>
      </c>
      <c r="C428">
        <v>1701.77705130247</v>
      </c>
      <c r="D428">
        <v>1554.4625146802</v>
      </c>
      <c r="E428">
        <v>11</v>
      </c>
      <c r="F428">
        <v>11</v>
      </c>
      <c r="K428">
        <v>0.41205281121152798</v>
      </c>
      <c r="L428">
        <v>1.2857067624151799</v>
      </c>
      <c r="M428">
        <v>0.28273483271525301</v>
      </c>
      <c r="N428">
        <v>2529</v>
      </c>
      <c r="R428">
        <v>539195</v>
      </c>
      <c r="T428">
        <v>1862418</v>
      </c>
    </row>
    <row r="429" spans="1:21" x14ac:dyDescent="0.3">
      <c r="A429" s="1">
        <v>45641</v>
      </c>
      <c r="B429">
        <v>15</v>
      </c>
      <c r="C429">
        <v>1616.9097174416099</v>
      </c>
      <c r="D429">
        <v>161.158854647694</v>
      </c>
      <c r="E429">
        <v>11</v>
      </c>
      <c r="F429">
        <v>11</v>
      </c>
      <c r="K429">
        <v>0.29983933952435898</v>
      </c>
      <c r="L429">
        <v>0.71176731905044199</v>
      </c>
      <c r="M429">
        <v>0.271860416072358</v>
      </c>
      <c r="N429">
        <v>279</v>
      </c>
      <c r="R429">
        <v>771034</v>
      </c>
      <c r="T429">
        <v>92585</v>
      </c>
    </row>
    <row r="430" spans="1:21" x14ac:dyDescent="0.3">
      <c r="A430" s="1">
        <v>45642</v>
      </c>
      <c r="B430">
        <v>122</v>
      </c>
      <c r="C430">
        <v>1933.1830749575599</v>
      </c>
      <c r="D430">
        <v>4540.04468666925</v>
      </c>
      <c r="E430">
        <v>58</v>
      </c>
      <c r="F430">
        <v>58</v>
      </c>
      <c r="K430">
        <v>0.64793274647044197</v>
      </c>
      <c r="L430">
        <v>1.4496700153534201</v>
      </c>
      <c r="M430">
        <v>0.25825845138221398</v>
      </c>
      <c r="N430">
        <v>6733</v>
      </c>
      <c r="R430">
        <v>1887795</v>
      </c>
      <c r="T430">
        <v>4569305</v>
      </c>
    </row>
    <row r="431" spans="1:21" x14ac:dyDescent="0.3">
      <c r="A431" s="1">
        <v>45643</v>
      </c>
      <c r="B431">
        <v>67</v>
      </c>
      <c r="C431">
        <v>1761.2116512586799</v>
      </c>
      <c r="D431">
        <v>2616.2101238405799</v>
      </c>
      <c r="E431">
        <v>30</v>
      </c>
      <c r="F431">
        <v>30</v>
      </c>
      <c r="K431">
        <v>0.56998709259504898</v>
      </c>
      <c r="L431">
        <v>1.6064227464221801</v>
      </c>
      <c r="M431">
        <v>0.26527337000784901</v>
      </c>
      <c r="N431">
        <v>4100</v>
      </c>
      <c r="R431">
        <v>1015912</v>
      </c>
      <c r="T431">
        <v>2418227</v>
      </c>
    </row>
    <row r="432" spans="1:21" x14ac:dyDescent="0.3">
      <c r="A432" s="1">
        <v>45644</v>
      </c>
      <c r="B432">
        <v>16</v>
      </c>
      <c r="C432">
        <v>1615.2015253480599</v>
      </c>
      <c r="D432">
        <v>935.78658177299201</v>
      </c>
      <c r="E432">
        <v>2</v>
      </c>
      <c r="F432">
        <v>2</v>
      </c>
      <c r="K432">
        <v>0.41541352321616498</v>
      </c>
      <c r="L432">
        <v>1.5270409288789399</v>
      </c>
      <c r="M432">
        <v>0.271860416072358</v>
      </c>
      <c r="N432">
        <v>1599</v>
      </c>
      <c r="T432">
        <v>886755</v>
      </c>
    </row>
    <row r="433" spans="1:21" x14ac:dyDescent="0.3">
      <c r="A433" s="1">
        <v>45645</v>
      </c>
      <c r="B433">
        <v>95</v>
      </c>
      <c r="C433">
        <v>1766.19977676235</v>
      </c>
      <c r="D433">
        <v>4281.1475080008904</v>
      </c>
      <c r="E433">
        <v>15</v>
      </c>
      <c r="F433">
        <v>15</v>
      </c>
      <c r="K433">
        <v>0.593562225503519</v>
      </c>
      <c r="L433">
        <v>1.52528071534987</v>
      </c>
      <c r="M433">
        <v>0.26098599942946399</v>
      </c>
      <c r="N433">
        <v>6741</v>
      </c>
      <c r="T433">
        <v>3594431</v>
      </c>
    </row>
    <row r="434" spans="1:21" x14ac:dyDescent="0.3">
      <c r="A434" s="1">
        <v>45646</v>
      </c>
      <c r="B434">
        <v>107</v>
      </c>
      <c r="C434">
        <v>1734.0055544822501</v>
      </c>
      <c r="D434">
        <v>4122.3543200583599</v>
      </c>
      <c r="K434">
        <v>0.37704477365480898</v>
      </c>
      <c r="L434">
        <v>1.4672278785992301</v>
      </c>
      <c r="M434">
        <v>0.24925460325688101</v>
      </c>
      <c r="N434">
        <v>6714</v>
      </c>
      <c r="T434">
        <v>3017129</v>
      </c>
    </row>
    <row r="435" spans="1:21" x14ac:dyDescent="0.3">
      <c r="A435" s="1">
        <v>45647</v>
      </c>
      <c r="B435">
        <v>80</v>
      </c>
      <c r="C435">
        <v>1674.7525709736999</v>
      </c>
      <c r="D435">
        <v>4136.7765800063898</v>
      </c>
      <c r="E435">
        <v>6</v>
      </c>
      <c r="F435">
        <v>6</v>
      </c>
      <c r="K435">
        <v>0.39890610686509198</v>
      </c>
      <c r="L435">
        <v>1.3989016681158799</v>
      </c>
      <c r="M435">
        <v>0.25011158278656997</v>
      </c>
      <c r="N435">
        <v>6537</v>
      </c>
      <c r="T435">
        <v>1954614</v>
      </c>
    </row>
    <row r="436" spans="1:21" x14ac:dyDescent="0.3">
      <c r="A436" s="1">
        <v>45648</v>
      </c>
      <c r="B436">
        <v>38</v>
      </c>
      <c r="C436">
        <v>1624.90567400752</v>
      </c>
      <c r="D436">
        <v>1561.0757541016301</v>
      </c>
      <c r="E436">
        <v>4</v>
      </c>
      <c r="F436">
        <v>4</v>
      </c>
      <c r="K436">
        <v>0.36667452972914699</v>
      </c>
      <c r="L436">
        <v>1.5345464493699199</v>
      </c>
      <c r="M436">
        <v>0.27002813772912299</v>
      </c>
      <c r="N436">
        <v>2440</v>
      </c>
      <c r="T436">
        <v>1060769</v>
      </c>
    </row>
    <row r="437" spans="1:21" x14ac:dyDescent="0.3">
      <c r="A437" s="1">
        <v>45649</v>
      </c>
      <c r="B437">
        <v>17</v>
      </c>
      <c r="C437">
        <v>1593.0846489877699</v>
      </c>
      <c r="D437">
        <v>646.44049118027203</v>
      </c>
      <c r="E437">
        <v>1</v>
      </c>
      <c r="F437">
        <v>1</v>
      </c>
      <c r="K437">
        <v>0.34809449539620102</v>
      </c>
      <c r="L437">
        <v>1.20635644862779</v>
      </c>
      <c r="M437">
        <v>0.26098599942946399</v>
      </c>
      <c r="N437">
        <v>1118</v>
      </c>
      <c r="T437">
        <v>490161</v>
      </c>
    </row>
    <row r="438" spans="1:21" x14ac:dyDescent="0.3">
      <c r="A438" s="1">
        <v>45650</v>
      </c>
      <c r="B438">
        <v>9</v>
      </c>
      <c r="C438">
        <v>1578.3043853559</v>
      </c>
      <c r="D438">
        <v>623.23875642602604</v>
      </c>
      <c r="K438">
        <v>0.35766695433295298</v>
      </c>
      <c r="L438">
        <v>1.7515224965320499</v>
      </c>
      <c r="M438">
        <v>0.25011158278656997</v>
      </c>
      <c r="N438">
        <v>1164</v>
      </c>
      <c r="T438">
        <v>225123</v>
      </c>
    </row>
    <row r="439" spans="1:21" x14ac:dyDescent="0.3">
      <c r="A439" s="1">
        <v>45651</v>
      </c>
      <c r="B439">
        <v>209</v>
      </c>
      <c r="C439">
        <v>2193.8206404528901</v>
      </c>
      <c r="D439">
        <v>11754.0224969016</v>
      </c>
      <c r="E439">
        <v>70</v>
      </c>
      <c r="F439">
        <v>70</v>
      </c>
      <c r="K439">
        <v>0.50149121595764701</v>
      </c>
      <c r="L439">
        <v>1.53504436097522</v>
      </c>
      <c r="M439">
        <v>0.24968050002049899</v>
      </c>
      <c r="N439">
        <v>17321</v>
      </c>
      <c r="T439">
        <v>11262453</v>
      </c>
    </row>
    <row r="440" spans="1:21" x14ac:dyDescent="0.3">
      <c r="A440" s="1">
        <v>45652</v>
      </c>
      <c r="B440">
        <v>6</v>
      </c>
      <c r="C440">
        <v>1631.0383713727799</v>
      </c>
      <c r="D440">
        <v>326.189335214224</v>
      </c>
      <c r="K440">
        <v>0.75794953744848603</v>
      </c>
      <c r="L440">
        <v>1.5124282812540499</v>
      </c>
      <c r="M440">
        <v>0.28273483271525301</v>
      </c>
      <c r="N440">
        <v>702</v>
      </c>
      <c r="T440">
        <v>747574</v>
      </c>
      <c r="U440">
        <v>184781</v>
      </c>
    </row>
    <row r="441" spans="1:21" x14ac:dyDescent="0.3">
      <c r="A441" s="1">
        <v>45653</v>
      </c>
      <c r="B441">
        <v>107</v>
      </c>
      <c r="C441">
        <v>1880.76290951754</v>
      </c>
      <c r="D441">
        <v>5093.3281142776304</v>
      </c>
      <c r="E441">
        <v>14</v>
      </c>
      <c r="F441">
        <v>14</v>
      </c>
      <c r="K441">
        <v>0.66977386868289102</v>
      </c>
      <c r="L441">
        <v>1.9663441128429</v>
      </c>
      <c r="M441">
        <v>0.26049111689001198</v>
      </c>
      <c r="N441">
        <v>7818</v>
      </c>
      <c r="R441">
        <v>214886</v>
      </c>
      <c r="T441">
        <v>5418885</v>
      </c>
    </row>
    <row r="442" spans="1:21" x14ac:dyDescent="0.3">
      <c r="A442" s="1">
        <v>45654</v>
      </c>
      <c r="B442">
        <v>49</v>
      </c>
      <c r="C442">
        <v>1675.3195359690001</v>
      </c>
      <c r="D442">
        <v>1699.7637894117299</v>
      </c>
      <c r="K442">
        <v>0.44846505729250202</v>
      </c>
      <c r="L442">
        <v>1.25182762250978</v>
      </c>
      <c r="M442">
        <v>0.26294934819931098</v>
      </c>
      <c r="N442">
        <v>3043</v>
      </c>
      <c r="T442">
        <v>1964782</v>
      </c>
    </row>
    <row r="443" spans="1:21" x14ac:dyDescent="0.3">
      <c r="A443" s="1">
        <v>45655</v>
      </c>
      <c r="B443">
        <v>70</v>
      </c>
      <c r="C443">
        <v>1797.7245848427899</v>
      </c>
      <c r="D443">
        <v>3614.8201392327801</v>
      </c>
      <c r="E443">
        <v>15</v>
      </c>
      <c r="F443">
        <v>15</v>
      </c>
      <c r="K443">
        <v>0.38481021528570297</v>
      </c>
      <c r="L443">
        <v>1.52604243241597</v>
      </c>
      <c r="M443">
        <v>0.25011158278656997</v>
      </c>
      <c r="N443">
        <v>5593</v>
      </c>
      <c r="T443">
        <v>4159726</v>
      </c>
    </row>
    <row r="444" spans="1:21" x14ac:dyDescent="0.3">
      <c r="A444" s="1">
        <v>45656</v>
      </c>
      <c r="B444">
        <v>56</v>
      </c>
      <c r="C444">
        <v>1833.44220158652</v>
      </c>
      <c r="D444">
        <v>3140.3140131688501</v>
      </c>
      <c r="E444">
        <v>17</v>
      </c>
      <c r="F444">
        <v>17</v>
      </c>
      <c r="K444">
        <v>0.46693773333931898</v>
      </c>
      <c r="L444">
        <v>2.4977922741074798</v>
      </c>
      <c r="M444">
        <v>0.25011158278656997</v>
      </c>
      <c r="N444">
        <v>4980</v>
      </c>
      <c r="T444">
        <v>4800210</v>
      </c>
    </row>
    <row r="445" spans="1:21" x14ac:dyDescent="0.3">
      <c r="A445" s="1">
        <v>45657</v>
      </c>
      <c r="B445">
        <v>93</v>
      </c>
      <c r="C445">
        <v>1902.4015736854999</v>
      </c>
      <c r="D445">
        <v>5478.2713770713999</v>
      </c>
      <c r="E445">
        <v>38</v>
      </c>
      <c r="F445">
        <v>37</v>
      </c>
      <c r="K445">
        <v>0.57238522736230901</v>
      </c>
      <c r="L445">
        <v>2.1636436924521698</v>
      </c>
      <c r="M445">
        <v>0.25011158278656997</v>
      </c>
      <c r="N445">
        <v>8125</v>
      </c>
      <c r="T445">
        <v>6036777</v>
      </c>
    </row>
    <row r="446" spans="1:21" x14ac:dyDescent="0.3">
      <c r="A446" s="1">
        <v>45658</v>
      </c>
      <c r="B446">
        <v>27</v>
      </c>
      <c r="C446">
        <v>1608.51448964317</v>
      </c>
      <c r="D446">
        <v>1145.96715731429</v>
      </c>
      <c r="K446">
        <v>0.38893957499401799</v>
      </c>
      <c r="L446">
        <v>1.25561139358713</v>
      </c>
      <c r="M446">
        <v>0.25011158278656997</v>
      </c>
      <c r="N446">
        <v>2053</v>
      </c>
      <c r="T446">
        <v>766846</v>
      </c>
    </row>
    <row r="447" spans="1:21" x14ac:dyDescent="0.3">
      <c r="A447" s="1">
        <v>45659</v>
      </c>
      <c r="B447">
        <v>98</v>
      </c>
      <c r="C447">
        <v>1862.7644592776101</v>
      </c>
      <c r="D447">
        <v>5661.3798769906398</v>
      </c>
      <c r="E447">
        <v>42</v>
      </c>
      <c r="F447">
        <v>42</v>
      </c>
      <c r="K447">
        <v>0.46985249188655298</v>
      </c>
      <c r="L447">
        <v>1.4116628645574401</v>
      </c>
      <c r="M447">
        <v>0.26028465561586001</v>
      </c>
      <c r="N447">
        <v>8494</v>
      </c>
      <c r="T447">
        <v>5326013</v>
      </c>
    </row>
    <row r="448" spans="1:21" x14ac:dyDescent="0.3">
      <c r="A448" s="1">
        <v>45660</v>
      </c>
      <c r="B448">
        <v>74</v>
      </c>
      <c r="C448">
        <v>1799.33494866766</v>
      </c>
      <c r="D448">
        <v>3917.4690151812702</v>
      </c>
      <c r="E448">
        <v>17</v>
      </c>
      <c r="F448">
        <v>17</v>
      </c>
      <c r="K448">
        <v>0.57000533942411502</v>
      </c>
      <c r="L448">
        <v>1.4521614017961999</v>
      </c>
      <c r="M448">
        <v>0.25011158278656997</v>
      </c>
      <c r="N448">
        <v>5993</v>
      </c>
      <c r="T448">
        <v>4188606</v>
      </c>
    </row>
    <row r="449" spans="1:21" x14ac:dyDescent="0.3">
      <c r="A449" s="1">
        <v>45661</v>
      </c>
      <c r="B449">
        <v>60</v>
      </c>
      <c r="C449">
        <v>1666.45388010231</v>
      </c>
      <c r="D449">
        <v>2623.2832200988601</v>
      </c>
      <c r="E449">
        <v>9</v>
      </c>
      <c r="F449">
        <v>9</v>
      </c>
      <c r="K449">
        <v>0.44900773335994398</v>
      </c>
      <c r="L449">
        <v>1.60773971460953</v>
      </c>
      <c r="M449">
        <v>0.25428934423961602</v>
      </c>
      <c r="N449">
        <v>4002</v>
      </c>
      <c r="S449">
        <v>18027</v>
      </c>
      <c r="T449">
        <v>1805804</v>
      </c>
    </row>
    <row r="450" spans="1:21" x14ac:dyDescent="0.3">
      <c r="A450" s="1">
        <v>45662</v>
      </c>
      <c r="B450">
        <v>207</v>
      </c>
      <c r="C450">
        <v>2186.7582457029598</v>
      </c>
      <c r="D450">
        <v>10604.3626625741</v>
      </c>
      <c r="E450">
        <v>48</v>
      </c>
      <c r="F450">
        <v>47</v>
      </c>
      <c r="K450">
        <v>0.52780205530004398</v>
      </c>
      <c r="L450">
        <v>1.91179289401998</v>
      </c>
      <c r="M450">
        <v>0.24520436835753401</v>
      </c>
      <c r="N450">
        <v>16159</v>
      </c>
      <c r="T450">
        <v>10886003</v>
      </c>
      <c r="U450">
        <v>109043</v>
      </c>
    </row>
    <row r="451" spans="1:21" x14ac:dyDescent="0.3">
      <c r="A451" s="1">
        <v>45663</v>
      </c>
      <c r="B451">
        <v>140</v>
      </c>
      <c r="C451">
        <v>1918.78675472183</v>
      </c>
      <c r="D451">
        <v>5398.2447565202801</v>
      </c>
      <c r="E451">
        <v>60</v>
      </c>
      <c r="F451">
        <v>60</v>
      </c>
      <c r="K451">
        <v>0.49520657324112299</v>
      </c>
      <c r="L451">
        <v>1.5900125503932601</v>
      </c>
      <c r="M451">
        <v>0.25011158278656997</v>
      </c>
      <c r="N451">
        <v>8329</v>
      </c>
      <c r="R451">
        <v>2159533</v>
      </c>
      <c r="T451">
        <v>4020463</v>
      </c>
    </row>
    <row r="452" spans="1:21" x14ac:dyDescent="0.3">
      <c r="A452" s="1">
        <v>45664</v>
      </c>
      <c r="B452">
        <v>63</v>
      </c>
      <c r="C452">
        <v>1713.2722332692899</v>
      </c>
      <c r="D452">
        <v>2943.78076380742</v>
      </c>
      <c r="E452">
        <v>6</v>
      </c>
      <c r="F452">
        <v>6</v>
      </c>
      <c r="K452">
        <v>0.50200339602682598</v>
      </c>
      <c r="L452">
        <v>1.3453923372171499</v>
      </c>
      <c r="M452">
        <v>0.26098599942946399</v>
      </c>
      <c r="N452">
        <v>4774</v>
      </c>
      <c r="T452">
        <v>2645343</v>
      </c>
    </row>
    <row r="453" spans="1:21" x14ac:dyDescent="0.3">
      <c r="A453" s="1">
        <v>45665</v>
      </c>
      <c r="B453">
        <v>109</v>
      </c>
      <c r="C453">
        <v>1859.92713412745</v>
      </c>
      <c r="D453">
        <v>2513.66784051272</v>
      </c>
      <c r="E453">
        <v>53</v>
      </c>
      <c r="F453">
        <v>53</v>
      </c>
      <c r="K453">
        <v>0.49868494223493898</v>
      </c>
      <c r="L453">
        <v>1.6192163882789401</v>
      </c>
      <c r="M453">
        <v>0.25011158278656997</v>
      </c>
      <c r="N453">
        <v>4196</v>
      </c>
      <c r="R453">
        <v>2958815</v>
      </c>
      <c r="T453">
        <v>2109983</v>
      </c>
    </row>
    <row r="454" spans="1:21" x14ac:dyDescent="0.3">
      <c r="A454" s="1">
        <v>45666</v>
      </c>
      <c r="B454">
        <v>84</v>
      </c>
      <c r="C454">
        <v>1735.00728776557</v>
      </c>
      <c r="D454">
        <v>3427.9739504126301</v>
      </c>
      <c r="K454">
        <v>0.505921124499492</v>
      </c>
      <c r="L454">
        <v>1.6595931816771801</v>
      </c>
      <c r="M454">
        <v>0.25011158278656997</v>
      </c>
      <c r="N454">
        <v>5557</v>
      </c>
      <c r="T454">
        <v>2820734</v>
      </c>
      <c r="U454">
        <v>93602</v>
      </c>
    </row>
    <row r="455" spans="1:21" x14ac:dyDescent="0.3">
      <c r="A455" s="1">
        <v>45667</v>
      </c>
      <c r="B455">
        <v>24</v>
      </c>
      <c r="C455">
        <v>1583.5589546614499</v>
      </c>
      <c r="D455">
        <v>772.78958801869499</v>
      </c>
      <c r="K455">
        <v>0.32872402532649603</v>
      </c>
      <c r="L455">
        <v>1.3849188895350499</v>
      </c>
      <c r="M455">
        <v>0.25011158278656997</v>
      </c>
      <c r="N455">
        <v>1286</v>
      </c>
      <c r="T455">
        <v>319347</v>
      </c>
    </row>
    <row r="456" spans="1:21" x14ac:dyDescent="0.3">
      <c r="A456" s="1">
        <v>45668</v>
      </c>
      <c r="B456">
        <v>70</v>
      </c>
      <c r="C456">
        <v>1810.6309825752301</v>
      </c>
      <c r="D456">
        <v>3780.7629921431298</v>
      </c>
      <c r="E456">
        <v>24</v>
      </c>
      <c r="F456">
        <v>24</v>
      </c>
      <c r="K456">
        <v>0.43307645638067599</v>
      </c>
      <c r="L456">
        <v>1.43931193491766</v>
      </c>
      <c r="M456">
        <v>0.26098599942946399</v>
      </c>
      <c r="N456">
        <v>5847</v>
      </c>
      <c r="T456">
        <v>4391164</v>
      </c>
    </row>
    <row r="457" spans="1:21" x14ac:dyDescent="0.3">
      <c r="A457" s="1">
        <v>45669</v>
      </c>
      <c r="B457">
        <v>104</v>
      </c>
      <c r="C457">
        <v>1724.1900320944901</v>
      </c>
      <c r="D457">
        <v>3978.6329145433001</v>
      </c>
      <c r="E457">
        <v>3</v>
      </c>
      <c r="F457">
        <v>3</v>
      </c>
      <c r="K457">
        <v>0.40742804106604802</v>
      </c>
      <c r="L457">
        <v>1.5255227366572801</v>
      </c>
      <c r="M457">
        <v>0.25011158278656997</v>
      </c>
      <c r="N457">
        <v>6319</v>
      </c>
      <c r="T457">
        <v>2841120</v>
      </c>
    </row>
    <row r="458" spans="1:21" x14ac:dyDescent="0.3">
      <c r="A458" s="1">
        <v>45670</v>
      </c>
      <c r="B458">
        <v>159</v>
      </c>
      <c r="C458">
        <v>2031.12777892587</v>
      </c>
      <c r="D458">
        <v>6248.5209220159604</v>
      </c>
      <c r="E458">
        <v>65</v>
      </c>
      <c r="F458">
        <v>65</v>
      </c>
      <c r="K458">
        <v>0.60649063676751402</v>
      </c>
      <c r="L458">
        <v>1.49412504594944</v>
      </c>
      <c r="M458">
        <v>0.25011158278656997</v>
      </c>
      <c r="N458">
        <v>9543</v>
      </c>
      <c r="R458">
        <v>2370590</v>
      </c>
      <c r="T458">
        <v>5809171</v>
      </c>
    </row>
    <row r="459" spans="1:21" x14ac:dyDescent="0.3">
      <c r="A459" s="1">
        <v>45671</v>
      </c>
      <c r="B459">
        <v>76</v>
      </c>
      <c r="C459">
        <v>1724.4331370851301</v>
      </c>
      <c r="D459">
        <v>3047.3250671619498</v>
      </c>
      <c r="E459">
        <v>31</v>
      </c>
      <c r="F459">
        <v>31</v>
      </c>
      <c r="K459">
        <v>0.530094873051556</v>
      </c>
      <c r="L459">
        <v>1.52429385955862</v>
      </c>
      <c r="M459">
        <v>0.25466207487895098</v>
      </c>
      <c r="N459">
        <v>4725</v>
      </c>
      <c r="R459">
        <v>1176610</v>
      </c>
      <c r="T459">
        <v>1586818</v>
      </c>
    </row>
    <row r="460" spans="1:21" x14ac:dyDescent="0.3">
      <c r="A460" s="1">
        <v>45672</v>
      </c>
      <c r="B460">
        <v>90</v>
      </c>
      <c r="C460">
        <v>1802.1957564597201</v>
      </c>
      <c r="D460">
        <v>3213.7546221132902</v>
      </c>
      <c r="E460">
        <v>42</v>
      </c>
      <c r="F460">
        <v>42</v>
      </c>
      <c r="K460">
        <v>0.55122022700323603</v>
      </c>
      <c r="L460">
        <v>2.40857846034478</v>
      </c>
      <c r="M460">
        <v>0.25011158278656997</v>
      </c>
      <c r="N460">
        <v>5052</v>
      </c>
      <c r="R460">
        <v>1581184</v>
      </c>
      <c r="T460">
        <v>2548456</v>
      </c>
    </row>
    <row r="461" spans="1:21" x14ac:dyDescent="0.3">
      <c r="A461" s="1">
        <v>45673</v>
      </c>
      <c r="B461">
        <v>68</v>
      </c>
      <c r="C461">
        <v>1765.51672313678</v>
      </c>
      <c r="D461">
        <v>2902.9410011220002</v>
      </c>
      <c r="E461">
        <v>31</v>
      </c>
      <c r="F461">
        <v>31</v>
      </c>
      <c r="K461">
        <v>0.65174726426729701</v>
      </c>
      <c r="L461">
        <v>2.2714050750604802</v>
      </c>
      <c r="M461">
        <v>0.25011158278656997</v>
      </c>
      <c r="N461">
        <v>4272</v>
      </c>
      <c r="R461">
        <v>862070</v>
      </c>
      <c r="T461">
        <v>2659996</v>
      </c>
    </row>
    <row r="462" spans="1:21" x14ac:dyDescent="0.3">
      <c r="A462" s="1">
        <v>45674</v>
      </c>
      <c r="B462">
        <v>141</v>
      </c>
      <c r="C462">
        <v>1965.7179825252199</v>
      </c>
      <c r="D462">
        <v>4353.2396241850001</v>
      </c>
      <c r="E462">
        <v>40</v>
      </c>
      <c r="F462">
        <v>40</v>
      </c>
      <c r="K462">
        <v>0.44622251831184201</v>
      </c>
      <c r="L462">
        <v>1.4940778799034899</v>
      </c>
      <c r="M462">
        <v>0.26098599942946399</v>
      </c>
      <c r="N462">
        <v>6793</v>
      </c>
      <c r="R462">
        <v>2203808</v>
      </c>
      <c r="T462">
        <v>4814666</v>
      </c>
    </row>
    <row r="463" spans="1:21" x14ac:dyDescent="0.3">
      <c r="A463" s="1">
        <v>45675</v>
      </c>
      <c r="B463">
        <v>100</v>
      </c>
      <c r="C463">
        <v>1891.83942105248</v>
      </c>
      <c r="D463">
        <v>4777.0804474624301</v>
      </c>
      <c r="E463">
        <v>33</v>
      </c>
      <c r="F463">
        <v>33</v>
      </c>
      <c r="K463">
        <v>0.57406418850635899</v>
      </c>
      <c r="L463">
        <v>1.63498184041474</v>
      </c>
      <c r="M463">
        <v>0.26098599942946399</v>
      </c>
      <c r="N463">
        <v>7223</v>
      </c>
      <c r="R463">
        <v>604901</v>
      </c>
      <c r="T463">
        <v>5200293</v>
      </c>
    </row>
    <row r="464" spans="1:21" x14ac:dyDescent="0.3">
      <c r="A464" s="1">
        <v>45676</v>
      </c>
      <c r="B464">
        <v>16</v>
      </c>
      <c r="C464">
        <v>1597.1518848061301</v>
      </c>
      <c r="D464">
        <v>946.52626156171402</v>
      </c>
      <c r="E464">
        <v>3</v>
      </c>
      <c r="F464">
        <v>3</v>
      </c>
      <c r="K464">
        <v>0.39999329526468402</v>
      </c>
      <c r="L464">
        <v>1.44948066354764</v>
      </c>
      <c r="M464">
        <v>0.25011158278656997</v>
      </c>
      <c r="N464">
        <v>1569</v>
      </c>
      <c r="T464">
        <v>563093</v>
      </c>
    </row>
    <row r="465" spans="1:21" x14ac:dyDescent="0.3">
      <c r="A465" s="1">
        <v>45677</v>
      </c>
      <c r="B465">
        <v>133</v>
      </c>
      <c r="C465">
        <v>1952.4344264612</v>
      </c>
      <c r="D465">
        <v>5039.6793522211701</v>
      </c>
      <c r="E465">
        <v>34</v>
      </c>
      <c r="F465">
        <v>34</v>
      </c>
      <c r="K465">
        <v>0.72158058960211902</v>
      </c>
      <c r="L465">
        <v>1.62679891603863</v>
      </c>
      <c r="M465">
        <v>0.24566583394284899</v>
      </c>
      <c r="N465">
        <v>7828</v>
      </c>
      <c r="R465">
        <v>1583271</v>
      </c>
      <c r="T465">
        <v>5240092</v>
      </c>
    </row>
    <row r="466" spans="1:21" x14ac:dyDescent="0.3">
      <c r="A466" s="1">
        <v>45678</v>
      </c>
      <c r="B466">
        <v>137</v>
      </c>
      <c r="C466">
        <v>1971.54692826736</v>
      </c>
      <c r="D466">
        <v>5135.4983127693204</v>
      </c>
      <c r="E466">
        <v>57</v>
      </c>
      <c r="F466">
        <v>57</v>
      </c>
      <c r="K466">
        <v>0.57018805513897097</v>
      </c>
      <c r="L466">
        <v>1.50249797281005</v>
      </c>
      <c r="M466">
        <v>0.24377525885740201</v>
      </c>
      <c r="N466">
        <v>7714</v>
      </c>
      <c r="R466">
        <v>2006997</v>
      </c>
      <c r="T466">
        <v>4897265</v>
      </c>
      <c r="U466">
        <v>101507</v>
      </c>
    </row>
    <row r="467" spans="1:21" x14ac:dyDescent="0.3">
      <c r="A467" s="1">
        <v>45679</v>
      </c>
      <c r="B467">
        <v>96</v>
      </c>
      <c r="C467">
        <v>1888.5137036425101</v>
      </c>
      <c r="D467">
        <v>3295.6071060498398</v>
      </c>
      <c r="E467">
        <v>46</v>
      </c>
      <c r="F467">
        <v>46</v>
      </c>
      <c r="K467">
        <v>0.62228193300562995</v>
      </c>
      <c r="L467">
        <v>1.6033803537756099</v>
      </c>
      <c r="M467">
        <v>0.277742680035029</v>
      </c>
      <c r="N467">
        <v>5220</v>
      </c>
      <c r="R467">
        <v>2057483</v>
      </c>
      <c r="T467">
        <v>3586780</v>
      </c>
    </row>
    <row r="468" spans="1:21" x14ac:dyDescent="0.3">
      <c r="A468" s="1">
        <v>45680</v>
      </c>
      <c r="B468">
        <v>59</v>
      </c>
      <c r="C468">
        <v>1730.46971333954</v>
      </c>
      <c r="D468">
        <v>1127.22893939748</v>
      </c>
      <c r="E468">
        <v>29</v>
      </c>
      <c r="F468">
        <v>29</v>
      </c>
      <c r="K468">
        <v>0.44068841011843102</v>
      </c>
      <c r="L468">
        <v>1.26464238256828</v>
      </c>
      <c r="M468">
        <v>0.27141951028869599</v>
      </c>
      <c r="N468">
        <v>1902</v>
      </c>
      <c r="R468">
        <v>1918912</v>
      </c>
      <c r="T468">
        <v>900998</v>
      </c>
    </row>
    <row r="469" spans="1:21" x14ac:dyDescent="0.3">
      <c r="A469" s="1">
        <v>45681</v>
      </c>
      <c r="B469">
        <v>60</v>
      </c>
      <c r="C469">
        <v>1818.48832614666</v>
      </c>
      <c r="D469">
        <v>3181.86638098299</v>
      </c>
      <c r="E469">
        <v>15</v>
      </c>
      <c r="F469">
        <v>15</v>
      </c>
      <c r="K469">
        <v>0.50913583200132795</v>
      </c>
      <c r="L469">
        <v>1.6502858614547899</v>
      </c>
      <c r="M469">
        <v>0.25011158278656997</v>
      </c>
      <c r="N469">
        <v>4907</v>
      </c>
      <c r="T469">
        <v>3158004</v>
      </c>
      <c r="U469">
        <v>600000</v>
      </c>
    </row>
    <row r="470" spans="1:21" x14ac:dyDescent="0.3">
      <c r="A470" s="1">
        <v>45682</v>
      </c>
      <c r="B470">
        <v>93</v>
      </c>
      <c r="C470">
        <v>1847.4371756237199</v>
      </c>
      <c r="D470">
        <v>3257.73800277905</v>
      </c>
      <c r="E470">
        <v>33</v>
      </c>
      <c r="F470">
        <v>33</v>
      </c>
      <c r="K470">
        <v>0.49937574405486002</v>
      </c>
      <c r="L470">
        <v>1.5156730260036899</v>
      </c>
      <c r="M470">
        <v>0.24716500131272001</v>
      </c>
      <c r="N470">
        <v>5126</v>
      </c>
      <c r="R470">
        <v>1466430</v>
      </c>
      <c r="T470">
        <v>3482474</v>
      </c>
    </row>
    <row r="471" spans="1:21" x14ac:dyDescent="0.3">
      <c r="A471" s="1">
        <v>45683</v>
      </c>
      <c r="B471">
        <v>149</v>
      </c>
      <c r="C471">
        <v>2083.93783942646</v>
      </c>
      <c r="D471">
        <v>8650.5359050744191</v>
      </c>
      <c r="E471">
        <v>79</v>
      </c>
      <c r="F471">
        <v>79</v>
      </c>
      <c r="K471">
        <v>0.56216667157373101</v>
      </c>
      <c r="L471">
        <v>1.5661663164434101</v>
      </c>
      <c r="M471">
        <v>0.26098599942946399</v>
      </c>
      <c r="N471">
        <v>12645</v>
      </c>
      <c r="R471">
        <v>951808</v>
      </c>
      <c r="T471">
        <v>8273870</v>
      </c>
    </row>
    <row r="472" spans="1:21" x14ac:dyDescent="0.3">
      <c r="A472" s="1">
        <v>45684</v>
      </c>
      <c r="B472">
        <v>159</v>
      </c>
      <c r="C472">
        <v>2003.8875512141501</v>
      </c>
      <c r="D472">
        <v>9769.1995772261707</v>
      </c>
      <c r="E472">
        <v>73</v>
      </c>
      <c r="F472">
        <v>73</v>
      </c>
      <c r="K472">
        <v>0.59595676178700996</v>
      </c>
      <c r="L472">
        <v>1.96506704249069</v>
      </c>
      <c r="M472">
        <v>0.24973540491349999</v>
      </c>
      <c r="N472">
        <v>13949</v>
      </c>
      <c r="T472">
        <v>7830270</v>
      </c>
    </row>
    <row r="473" spans="1:21" x14ac:dyDescent="0.3">
      <c r="A473" s="1">
        <v>45685</v>
      </c>
      <c r="B473">
        <v>102</v>
      </c>
      <c r="C473">
        <v>1811.6204891485399</v>
      </c>
      <c r="D473">
        <v>6932.3079374601703</v>
      </c>
      <c r="E473">
        <v>62</v>
      </c>
      <c r="F473">
        <v>62</v>
      </c>
      <c r="K473">
        <v>0.49003052948889803</v>
      </c>
      <c r="L473">
        <v>1.5359104921179201</v>
      </c>
      <c r="M473">
        <v>0.25069978973791501</v>
      </c>
      <c r="N473">
        <v>9933</v>
      </c>
      <c r="T473">
        <v>4408905</v>
      </c>
    </row>
    <row r="474" spans="1:21" x14ac:dyDescent="0.3">
      <c r="A474" s="1">
        <v>45686</v>
      </c>
      <c r="B474">
        <v>85</v>
      </c>
      <c r="C474">
        <v>1779.1721522285</v>
      </c>
      <c r="D474">
        <v>5223.4855603696597</v>
      </c>
      <c r="E474">
        <v>51</v>
      </c>
      <c r="F474">
        <v>51</v>
      </c>
      <c r="K474">
        <v>0.44741199861264502</v>
      </c>
      <c r="L474">
        <v>1.6007096753448</v>
      </c>
      <c r="M474">
        <v>0.25011158278656997</v>
      </c>
      <c r="N474">
        <v>7306</v>
      </c>
      <c r="R474">
        <v>477242</v>
      </c>
      <c r="T474">
        <v>3316527</v>
      </c>
    </row>
    <row r="475" spans="1:21" x14ac:dyDescent="0.3">
      <c r="A475" s="1">
        <v>45687</v>
      </c>
      <c r="B475">
        <v>56</v>
      </c>
      <c r="C475">
        <v>1695.7233284435399</v>
      </c>
      <c r="D475">
        <v>2118.2162772530501</v>
      </c>
      <c r="E475">
        <v>22</v>
      </c>
      <c r="F475">
        <v>22</v>
      </c>
      <c r="K475">
        <v>0.47862401300545199</v>
      </c>
      <c r="L475">
        <v>1.53233406011712</v>
      </c>
      <c r="M475">
        <v>0.25011158278656997</v>
      </c>
      <c r="N475">
        <v>3288</v>
      </c>
      <c r="R475">
        <v>864358</v>
      </c>
      <c r="T475">
        <v>1406025</v>
      </c>
    </row>
    <row r="476" spans="1:21" x14ac:dyDescent="0.3">
      <c r="A476" s="1">
        <v>45688</v>
      </c>
      <c r="B476">
        <v>69</v>
      </c>
      <c r="C476">
        <v>1791.9125620760501</v>
      </c>
      <c r="D476">
        <v>3409.4798146470598</v>
      </c>
      <c r="E476">
        <v>11</v>
      </c>
      <c r="F476">
        <v>11</v>
      </c>
      <c r="K476">
        <v>0.51511268687529599</v>
      </c>
      <c r="L476">
        <v>1.57917902729352</v>
      </c>
      <c r="M476">
        <v>0.25011158278656997</v>
      </c>
      <c r="N476">
        <v>5295</v>
      </c>
      <c r="T476">
        <v>3263548</v>
      </c>
      <c r="U476">
        <v>345819</v>
      </c>
    </row>
    <row r="477" spans="1:21" x14ac:dyDescent="0.3">
      <c r="A477" s="1">
        <v>45689</v>
      </c>
      <c r="B477">
        <v>98</v>
      </c>
      <c r="C477">
        <v>1893.6369908294801</v>
      </c>
      <c r="D477">
        <v>4261.21477816072</v>
      </c>
      <c r="E477">
        <v>37</v>
      </c>
      <c r="F477">
        <v>37</v>
      </c>
      <c r="K477">
        <v>0.49946220791505702</v>
      </c>
      <c r="L477">
        <v>1.6257037141482</v>
      </c>
      <c r="M477">
        <v>0.25011158278656997</v>
      </c>
      <c r="N477">
        <v>6632</v>
      </c>
      <c r="R477">
        <v>1181264</v>
      </c>
      <c r="T477">
        <v>4615975</v>
      </c>
    </row>
    <row r="478" spans="1:21" x14ac:dyDescent="0.3">
      <c r="A478" s="1">
        <v>45690</v>
      </c>
      <c r="B478">
        <v>107</v>
      </c>
      <c r="C478">
        <v>1886.59672756332</v>
      </c>
      <c r="D478">
        <v>4695.5773219612602</v>
      </c>
      <c r="E478">
        <v>57</v>
      </c>
      <c r="F478">
        <v>57</v>
      </c>
      <c r="K478">
        <v>0.430942487405097</v>
      </c>
      <c r="L478">
        <v>1.4605264980264201</v>
      </c>
      <c r="M478">
        <v>0.25011158278656997</v>
      </c>
      <c r="N478">
        <v>7011</v>
      </c>
      <c r="R478">
        <v>1566203</v>
      </c>
      <c r="T478">
        <v>4077944</v>
      </c>
    </row>
    <row r="479" spans="1:21" x14ac:dyDescent="0.3">
      <c r="A479" s="1">
        <v>45691</v>
      </c>
      <c r="B479">
        <v>122</v>
      </c>
      <c r="C479">
        <v>1892.5325493067</v>
      </c>
      <c r="D479">
        <v>5883.9154107698896</v>
      </c>
      <c r="E479">
        <v>62</v>
      </c>
      <c r="F479">
        <v>62</v>
      </c>
      <c r="K479">
        <v>0.50545155157918498</v>
      </c>
      <c r="L479">
        <v>1.6029269244745701</v>
      </c>
      <c r="M479">
        <v>0.28273483271525301</v>
      </c>
      <c r="N479">
        <v>8666</v>
      </c>
      <c r="R479">
        <v>1251280</v>
      </c>
      <c r="T479">
        <v>4521266</v>
      </c>
    </row>
    <row r="480" spans="1:21" x14ac:dyDescent="0.3">
      <c r="A480" s="1">
        <v>45692</v>
      </c>
      <c r="B480">
        <v>92</v>
      </c>
      <c r="C480">
        <v>1839.99122962255</v>
      </c>
      <c r="D480">
        <v>4464.36305109364</v>
      </c>
      <c r="E480">
        <v>40</v>
      </c>
      <c r="F480">
        <v>40</v>
      </c>
      <c r="K480">
        <v>0.538721908586409</v>
      </c>
      <c r="L480">
        <v>2.3252383383395099</v>
      </c>
      <c r="M480">
        <v>0.235333941323212</v>
      </c>
      <c r="N480">
        <v>6769</v>
      </c>
      <c r="R480">
        <v>903194</v>
      </c>
      <c r="T480">
        <v>3951466</v>
      </c>
    </row>
    <row r="481" spans="1:21" x14ac:dyDescent="0.3">
      <c r="A481" s="1">
        <v>45693</v>
      </c>
      <c r="B481">
        <v>99</v>
      </c>
      <c r="C481">
        <v>1781.9148662534801</v>
      </c>
      <c r="D481">
        <v>3386.81919435499</v>
      </c>
      <c r="E481">
        <v>22</v>
      </c>
      <c r="F481">
        <v>22</v>
      </c>
      <c r="K481">
        <v>0.43290890089002398</v>
      </c>
      <c r="L481">
        <v>1.4648236666544701</v>
      </c>
      <c r="M481">
        <v>0.25011158278656997</v>
      </c>
      <c r="N481">
        <v>5158</v>
      </c>
      <c r="R481">
        <v>910138</v>
      </c>
      <c r="T481">
        <v>2768479</v>
      </c>
      <c r="U481">
        <v>58576</v>
      </c>
    </row>
    <row r="482" spans="1:21" x14ac:dyDescent="0.3">
      <c r="A482" s="1">
        <v>45694</v>
      </c>
      <c r="B482">
        <v>116</v>
      </c>
      <c r="C482">
        <v>1916.58961886938</v>
      </c>
      <c r="D482">
        <v>4702.1287530515801</v>
      </c>
      <c r="E482">
        <v>35</v>
      </c>
      <c r="F482">
        <v>35</v>
      </c>
      <c r="K482">
        <v>0.63760945371366595</v>
      </c>
      <c r="L482">
        <v>1.5118998465386799</v>
      </c>
      <c r="M482">
        <v>0.26751243357154197</v>
      </c>
      <c r="N482">
        <v>7237</v>
      </c>
      <c r="R482">
        <v>1070181</v>
      </c>
      <c r="T482">
        <v>5146384</v>
      </c>
    </row>
    <row r="483" spans="1:21" x14ac:dyDescent="0.3">
      <c r="A483" s="1">
        <v>45695</v>
      </c>
      <c r="B483">
        <v>74</v>
      </c>
      <c r="C483">
        <v>1790.1664991273699</v>
      </c>
      <c r="D483">
        <v>2237.63382770623</v>
      </c>
      <c r="E483">
        <v>43</v>
      </c>
      <c r="F483">
        <v>43</v>
      </c>
      <c r="K483">
        <v>0.53085205167987803</v>
      </c>
      <c r="L483">
        <v>1.63474029155917</v>
      </c>
      <c r="M483">
        <v>0.28273483271525301</v>
      </c>
      <c r="N483">
        <v>3403</v>
      </c>
      <c r="R483">
        <v>1854641</v>
      </c>
      <c r="T483">
        <v>2040223</v>
      </c>
    </row>
    <row r="484" spans="1:21" x14ac:dyDescent="0.3">
      <c r="A484" s="1">
        <v>45696</v>
      </c>
      <c r="B484">
        <v>133</v>
      </c>
      <c r="C484">
        <v>1898.1138188042801</v>
      </c>
      <c r="D484">
        <v>5164.5210043680199</v>
      </c>
      <c r="E484">
        <v>42</v>
      </c>
      <c r="F484">
        <v>42</v>
      </c>
      <c r="K484">
        <v>0.41008139365872198</v>
      </c>
      <c r="L484">
        <v>1.47172361567525</v>
      </c>
      <c r="M484">
        <v>0.24674900910681899</v>
      </c>
      <c r="N484">
        <v>8017</v>
      </c>
      <c r="R484">
        <v>1629632</v>
      </c>
      <c r="T484">
        <v>4216618</v>
      </c>
    </row>
    <row r="485" spans="1:21" x14ac:dyDescent="0.3">
      <c r="A485" s="1">
        <v>45697</v>
      </c>
      <c r="B485">
        <v>41</v>
      </c>
      <c r="C485">
        <v>1702.4322595721601</v>
      </c>
      <c r="D485">
        <v>1848.44588007787</v>
      </c>
      <c r="E485">
        <v>3</v>
      </c>
      <c r="F485">
        <v>3</v>
      </c>
      <c r="K485">
        <v>0.75751222752832803</v>
      </c>
      <c r="L485">
        <v>1.28683253627714</v>
      </c>
      <c r="M485">
        <v>0.32623246768636599</v>
      </c>
      <c r="N485">
        <v>2903</v>
      </c>
      <c r="T485">
        <v>2450963</v>
      </c>
    </row>
    <row r="486" spans="1:21" x14ac:dyDescent="0.3">
      <c r="A486" s="1">
        <v>45698</v>
      </c>
      <c r="B486">
        <v>187</v>
      </c>
      <c r="C486">
        <v>2150.4490031371402</v>
      </c>
      <c r="D486">
        <v>10092.8894757774</v>
      </c>
      <c r="E486">
        <v>55</v>
      </c>
      <c r="F486">
        <v>55</v>
      </c>
      <c r="K486">
        <v>0.49153514914556401</v>
      </c>
      <c r="L486">
        <v>1.6414175160343301</v>
      </c>
      <c r="M486">
        <v>0.25050819149582898</v>
      </c>
      <c r="N486">
        <v>15103</v>
      </c>
      <c r="R486">
        <v>605042</v>
      </c>
      <c r="T486">
        <v>9837487</v>
      </c>
    </row>
    <row r="487" spans="1:21" x14ac:dyDescent="0.3">
      <c r="A487" s="1">
        <v>45699</v>
      </c>
      <c r="B487">
        <v>135</v>
      </c>
      <c r="C487">
        <v>1915.87143434258</v>
      </c>
      <c r="D487">
        <v>7332.8134708396501</v>
      </c>
      <c r="E487">
        <v>41</v>
      </c>
      <c r="F487">
        <v>41</v>
      </c>
      <c r="K487">
        <v>0.51262301743572303</v>
      </c>
      <c r="L487">
        <v>1.72490259889717</v>
      </c>
      <c r="M487">
        <v>0.25011158278656997</v>
      </c>
      <c r="N487">
        <v>11096</v>
      </c>
      <c r="T487">
        <v>6277723</v>
      </c>
    </row>
    <row r="488" spans="1:21" x14ac:dyDescent="0.3">
      <c r="A488" s="1">
        <v>45700</v>
      </c>
      <c r="B488">
        <v>91</v>
      </c>
      <c r="C488">
        <v>1836.0006180186299</v>
      </c>
      <c r="D488">
        <v>3401.59998514886</v>
      </c>
      <c r="E488">
        <v>42</v>
      </c>
      <c r="F488">
        <v>42</v>
      </c>
      <c r="K488">
        <v>0.40226445495770102</v>
      </c>
      <c r="L488">
        <v>1.64612482087347</v>
      </c>
      <c r="M488">
        <v>0.25011158278656997</v>
      </c>
      <c r="N488">
        <v>5379</v>
      </c>
      <c r="R488">
        <v>1829280</v>
      </c>
      <c r="T488">
        <v>2889241</v>
      </c>
    </row>
    <row r="489" spans="1:21" x14ac:dyDescent="0.3">
      <c r="A489" s="1">
        <v>45701</v>
      </c>
      <c r="B489">
        <v>144</v>
      </c>
      <c r="C489">
        <v>1906.8748580721699</v>
      </c>
      <c r="D489">
        <v>7097.7389817735802</v>
      </c>
      <c r="E489">
        <v>45</v>
      </c>
      <c r="F489">
        <v>45</v>
      </c>
      <c r="K489">
        <v>0.46097801872091798</v>
      </c>
      <c r="L489">
        <v>1.4571336658940099</v>
      </c>
      <c r="M489">
        <v>0.25011158278656997</v>
      </c>
      <c r="N489">
        <v>10484</v>
      </c>
      <c r="R489">
        <v>545057</v>
      </c>
      <c r="T489">
        <v>5533926</v>
      </c>
    </row>
    <row r="490" spans="1:21" x14ac:dyDescent="0.3">
      <c r="A490" s="1">
        <v>45702</v>
      </c>
      <c r="B490">
        <v>120</v>
      </c>
      <c r="C490">
        <v>1847.70148076339</v>
      </c>
      <c r="D490">
        <v>5207.8332348146196</v>
      </c>
      <c r="E490">
        <v>32</v>
      </c>
      <c r="F490">
        <v>32</v>
      </c>
      <c r="K490">
        <v>0.49815537909380297</v>
      </c>
      <c r="L490">
        <v>1.87946530113576</v>
      </c>
      <c r="M490">
        <v>0.253150285122338</v>
      </c>
      <c r="N490">
        <v>7990</v>
      </c>
      <c r="R490">
        <v>816469</v>
      </c>
      <c r="T490">
        <v>4182498</v>
      </c>
    </row>
    <row r="491" spans="1:21" x14ac:dyDescent="0.3">
      <c r="A491" s="1">
        <v>45703</v>
      </c>
      <c r="B491">
        <v>142</v>
      </c>
      <c r="C491">
        <v>2032.8105199823799</v>
      </c>
      <c r="D491">
        <v>5831.3552398956799</v>
      </c>
      <c r="E491">
        <v>63</v>
      </c>
      <c r="F491">
        <v>63</v>
      </c>
      <c r="K491">
        <v>0.43130387999576603</v>
      </c>
      <c r="L491">
        <v>1.4494789045470799</v>
      </c>
      <c r="M491">
        <v>0.26196219329812498</v>
      </c>
      <c r="N491">
        <v>8719</v>
      </c>
      <c r="R491">
        <v>2401837</v>
      </c>
      <c r="T491">
        <v>5805917</v>
      </c>
    </row>
    <row r="492" spans="1:21" x14ac:dyDescent="0.3">
      <c r="A492" s="1">
        <v>45704</v>
      </c>
      <c r="B492">
        <v>53</v>
      </c>
      <c r="C492">
        <v>1726.2278784448199</v>
      </c>
      <c r="D492">
        <v>531.299510508916</v>
      </c>
      <c r="E492">
        <v>42</v>
      </c>
      <c r="F492">
        <v>42</v>
      </c>
      <c r="K492">
        <v>0.38942358197900501</v>
      </c>
      <c r="L492">
        <v>1.3989754605875699</v>
      </c>
      <c r="M492">
        <v>0.26937152008825199</v>
      </c>
      <c r="N492">
        <v>1001</v>
      </c>
      <c r="R492">
        <v>2598561</v>
      </c>
      <c r="T492">
        <v>97890</v>
      </c>
    </row>
    <row r="493" spans="1:21" x14ac:dyDescent="0.3">
      <c r="A493" s="1">
        <v>45705</v>
      </c>
      <c r="B493">
        <v>92</v>
      </c>
      <c r="C493">
        <v>1780.8865787002401</v>
      </c>
      <c r="D493">
        <v>4303.4179976473297</v>
      </c>
      <c r="E493">
        <v>33</v>
      </c>
      <c r="F493">
        <v>33</v>
      </c>
      <c r="K493">
        <v>0.50963774235914805</v>
      </c>
      <c r="L493">
        <v>1.5210927133062699</v>
      </c>
      <c r="M493">
        <v>0.26098599942946399</v>
      </c>
      <c r="N493">
        <v>6629</v>
      </c>
      <c r="R493">
        <v>693299</v>
      </c>
      <c r="T493">
        <v>3116143</v>
      </c>
    </row>
    <row r="494" spans="1:21" x14ac:dyDescent="0.3">
      <c r="A494" s="1">
        <v>45706</v>
      </c>
      <c r="B494">
        <v>87</v>
      </c>
      <c r="C494">
        <v>1813.6923360143401</v>
      </c>
      <c r="D494">
        <v>3470.1074740240701</v>
      </c>
      <c r="E494">
        <v>38</v>
      </c>
      <c r="F494">
        <v>38</v>
      </c>
      <c r="K494">
        <v>0.47575176914015799</v>
      </c>
      <c r="L494">
        <v>1.6910115317459</v>
      </c>
      <c r="M494">
        <v>0.25011158278656997</v>
      </c>
      <c r="N494">
        <v>5127</v>
      </c>
      <c r="R494">
        <v>1307605</v>
      </c>
      <c r="T494">
        <v>3047267</v>
      </c>
    </row>
    <row r="495" spans="1:21" x14ac:dyDescent="0.3">
      <c r="A495" s="1">
        <v>45707</v>
      </c>
      <c r="B495">
        <v>146</v>
      </c>
      <c r="C495">
        <v>2040.7385545796501</v>
      </c>
      <c r="D495">
        <v>6232.1129770787402</v>
      </c>
      <c r="E495">
        <v>38</v>
      </c>
      <c r="F495">
        <v>38</v>
      </c>
      <c r="K495">
        <v>0.65537511688867101</v>
      </c>
      <c r="L495">
        <v>1.71438669024751</v>
      </c>
      <c r="M495">
        <v>0.25011158278656997</v>
      </c>
      <c r="N495">
        <v>9505</v>
      </c>
      <c r="R495">
        <v>1036384</v>
      </c>
      <c r="T495">
        <v>6732392</v>
      </c>
      <c r="U495">
        <v>295343</v>
      </c>
    </row>
    <row r="496" spans="1:21" x14ac:dyDescent="0.3">
      <c r="A496" s="1">
        <v>45708</v>
      </c>
      <c r="B496">
        <v>145</v>
      </c>
      <c r="C496">
        <v>1939.58752155401</v>
      </c>
      <c r="D496">
        <v>4725.4825349089097</v>
      </c>
      <c r="E496">
        <v>45</v>
      </c>
      <c r="F496">
        <v>45</v>
      </c>
      <c r="K496">
        <v>0.43094562117144097</v>
      </c>
      <c r="L496">
        <v>1.49745815090997</v>
      </c>
      <c r="M496">
        <v>0.25011158278656997</v>
      </c>
      <c r="N496">
        <v>7312</v>
      </c>
      <c r="R496">
        <v>1931562</v>
      </c>
      <c r="T496">
        <v>4637332</v>
      </c>
    </row>
    <row r="497" spans="1:25" x14ac:dyDescent="0.3">
      <c r="A497" s="1">
        <v>45709</v>
      </c>
      <c r="B497">
        <v>126</v>
      </c>
      <c r="C497">
        <v>1853.3210455596</v>
      </c>
      <c r="D497">
        <v>6899.5637156405701</v>
      </c>
      <c r="E497">
        <v>63</v>
      </c>
      <c r="F497">
        <v>54</v>
      </c>
      <c r="K497">
        <v>0.55199089066701601</v>
      </c>
      <c r="L497">
        <v>2.4925595206403401</v>
      </c>
      <c r="M497">
        <v>0.25011158278656997</v>
      </c>
      <c r="N497">
        <v>9815</v>
      </c>
      <c r="R497">
        <v>771488</v>
      </c>
      <c r="T497">
        <v>4321974</v>
      </c>
    </row>
    <row r="498" spans="1:25" x14ac:dyDescent="0.3">
      <c r="A498" s="1">
        <v>45710</v>
      </c>
      <c r="B498">
        <v>122</v>
      </c>
      <c r="C498">
        <v>1929.3426527602701</v>
      </c>
      <c r="D498">
        <v>4975.30856569152</v>
      </c>
      <c r="E498">
        <v>51</v>
      </c>
      <c r="F498">
        <v>51</v>
      </c>
      <c r="K498">
        <v>0.41380582843104202</v>
      </c>
      <c r="L498">
        <v>1.52735228818911</v>
      </c>
      <c r="M498">
        <v>0.26098599942946399</v>
      </c>
      <c r="N498">
        <v>7427</v>
      </c>
      <c r="R498">
        <v>1826785</v>
      </c>
      <c r="T498">
        <v>4565703</v>
      </c>
    </row>
    <row r="499" spans="1:25" x14ac:dyDescent="0.3">
      <c r="A499" s="1">
        <v>45711</v>
      </c>
      <c r="B499">
        <v>80</v>
      </c>
      <c r="C499">
        <v>1810.3418276077</v>
      </c>
      <c r="D499">
        <v>4268.0780805354698</v>
      </c>
      <c r="E499">
        <v>16</v>
      </c>
      <c r="F499">
        <v>16</v>
      </c>
      <c r="K499">
        <v>0.47756710487009302</v>
      </c>
      <c r="L499">
        <v>1.8631911560851799</v>
      </c>
      <c r="M499">
        <v>0.263601757384126</v>
      </c>
      <c r="N499">
        <v>6408</v>
      </c>
      <c r="T499">
        <v>4385978</v>
      </c>
    </row>
    <row r="500" spans="1:25" x14ac:dyDescent="0.3">
      <c r="A500" s="1">
        <v>45712</v>
      </c>
      <c r="B500">
        <v>113</v>
      </c>
      <c r="C500">
        <v>1892.46498484723</v>
      </c>
      <c r="D500">
        <v>6684.2455287179</v>
      </c>
      <c r="E500">
        <v>49</v>
      </c>
      <c r="F500">
        <v>49</v>
      </c>
      <c r="K500">
        <v>0.58761158290238502</v>
      </c>
      <c r="L500">
        <v>1.7782588730347699</v>
      </c>
      <c r="M500">
        <v>0.24676718833067099</v>
      </c>
      <c r="N500">
        <v>9844</v>
      </c>
      <c r="T500">
        <v>5858595</v>
      </c>
    </row>
    <row r="501" spans="1:25" x14ac:dyDescent="0.3">
      <c r="A501" s="1">
        <v>45713</v>
      </c>
      <c r="B501">
        <v>94</v>
      </c>
      <c r="C501">
        <v>1854.88993641704</v>
      </c>
      <c r="D501">
        <v>5227.2766926131499</v>
      </c>
      <c r="E501">
        <v>30</v>
      </c>
      <c r="F501">
        <v>30</v>
      </c>
      <c r="K501">
        <v>0.46230243994477299</v>
      </c>
      <c r="L501">
        <v>1.4853723305908499</v>
      </c>
      <c r="M501">
        <v>0.24598092915907099</v>
      </c>
      <c r="N501">
        <v>7748</v>
      </c>
      <c r="T501">
        <v>4790883</v>
      </c>
      <c r="U501">
        <v>172012</v>
      </c>
    </row>
    <row r="502" spans="1:25" x14ac:dyDescent="0.3">
      <c r="A502" s="1">
        <v>45714</v>
      </c>
      <c r="B502">
        <v>131</v>
      </c>
      <c r="C502">
        <v>1966.20389389141</v>
      </c>
      <c r="D502">
        <v>6504.3877930888002</v>
      </c>
      <c r="E502">
        <v>44</v>
      </c>
      <c r="F502">
        <v>44</v>
      </c>
      <c r="K502">
        <v>0.44626574942076602</v>
      </c>
      <c r="L502">
        <v>1.6036468918612801</v>
      </c>
      <c r="M502">
        <v>0.25011158278656997</v>
      </c>
      <c r="N502">
        <v>9634</v>
      </c>
      <c r="R502">
        <v>619622</v>
      </c>
      <c r="T502">
        <v>6516878</v>
      </c>
    </row>
    <row r="503" spans="1:25" x14ac:dyDescent="0.3">
      <c r="A503" s="1">
        <v>45715</v>
      </c>
      <c r="B503">
        <v>84</v>
      </c>
      <c r="C503">
        <v>1835.7205276042901</v>
      </c>
      <c r="D503">
        <v>2940.2186995684501</v>
      </c>
      <c r="E503">
        <v>41</v>
      </c>
      <c r="F503">
        <v>41</v>
      </c>
      <c r="K503">
        <v>0.561824382749466</v>
      </c>
      <c r="L503">
        <v>1.4941015790110099</v>
      </c>
      <c r="M503">
        <v>0.25011158278656997</v>
      </c>
      <c r="N503">
        <v>4337</v>
      </c>
      <c r="R503">
        <v>1770331</v>
      </c>
      <c r="T503">
        <v>2753497</v>
      </c>
      <c r="U503">
        <v>84617</v>
      </c>
    </row>
    <row r="504" spans="1:25" x14ac:dyDescent="0.3">
      <c r="A504" s="1">
        <v>45716</v>
      </c>
      <c r="B504">
        <v>87</v>
      </c>
      <c r="C504">
        <v>1839.6380612621799</v>
      </c>
      <c r="D504">
        <v>3716.7044582107601</v>
      </c>
      <c r="E504">
        <v>33</v>
      </c>
      <c r="F504">
        <v>33</v>
      </c>
      <c r="K504">
        <v>0.610330786640088</v>
      </c>
      <c r="L504">
        <v>1.84196414398794</v>
      </c>
      <c r="M504">
        <v>0.28470200625352698</v>
      </c>
      <c r="N504">
        <v>5605</v>
      </c>
      <c r="R504">
        <v>908465</v>
      </c>
      <c r="T504">
        <v>3939432</v>
      </c>
    </row>
    <row r="505" spans="1:25" x14ac:dyDescent="0.3">
      <c r="A505" s="1">
        <v>45717</v>
      </c>
      <c r="B505">
        <v>206</v>
      </c>
      <c r="C505">
        <v>2179.3333779560498</v>
      </c>
      <c r="D505">
        <v>10583.004056523199</v>
      </c>
      <c r="E505">
        <v>58</v>
      </c>
      <c r="F505">
        <v>58</v>
      </c>
      <c r="K505">
        <v>0.58750838274450801</v>
      </c>
      <c r="L505">
        <v>1.5719233332818701</v>
      </c>
      <c r="M505">
        <v>0.25011158278656997</v>
      </c>
      <c r="N505">
        <v>15414</v>
      </c>
      <c r="T505">
        <v>11002669</v>
      </c>
    </row>
    <row r="506" spans="1:25" x14ac:dyDescent="0.3">
      <c r="A506" s="1">
        <v>45718</v>
      </c>
      <c r="B506">
        <v>69</v>
      </c>
      <c r="C506">
        <v>1733.91076037997</v>
      </c>
      <c r="D506">
        <v>3842.1474420724198</v>
      </c>
      <c r="E506">
        <v>24</v>
      </c>
      <c r="F506">
        <v>24</v>
      </c>
      <c r="K506">
        <v>0.64305887997952405</v>
      </c>
      <c r="L506">
        <v>1.3785562778315299</v>
      </c>
      <c r="M506">
        <v>0.26098599942946399</v>
      </c>
      <c r="N506">
        <v>5805</v>
      </c>
      <c r="T506">
        <v>3015430</v>
      </c>
    </row>
    <row r="507" spans="1:25" x14ac:dyDescent="0.3">
      <c r="A507" s="1">
        <v>45719</v>
      </c>
      <c r="B507">
        <v>172</v>
      </c>
      <c r="C507">
        <v>1961.4526883563999</v>
      </c>
      <c r="D507">
        <v>7735.8210296744501</v>
      </c>
      <c r="E507">
        <v>43</v>
      </c>
      <c r="F507">
        <v>43</v>
      </c>
      <c r="K507">
        <v>0.475266732777888</v>
      </c>
      <c r="L507">
        <v>1.52709652508998</v>
      </c>
      <c r="M507">
        <v>0.25011158278656997</v>
      </c>
      <c r="N507">
        <v>11546</v>
      </c>
      <c r="R507">
        <v>970804</v>
      </c>
      <c r="T507">
        <v>6057167</v>
      </c>
    </row>
    <row r="508" spans="1:25" x14ac:dyDescent="0.3">
      <c r="A508" s="1">
        <v>45720</v>
      </c>
      <c r="B508">
        <v>115</v>
      </c>
      <c r="C508">
        <v>1949.3886603107401</v>
      </c>
      <c r="D508">
        <v>4650.5813388848201</v>
      </c>
      <c r="E508">
        <v>49</v>
      </c>
      <c r="F508">
        <v>49</v>
      </c>
      <c r="K508">
        <v>0.51482796356356997</v>
      </c>
      <c r="L508">
        <v>1.67516462496509</v>
      </c>
      <c r="M508">
        <v>0.25011158278656997</v>
      </c>
      <c r="N508">
        <v>6996</v>
      </c>
      <c r="R508">
        <v>1723800</v>
      </c>
      <c r="T508">
        <v>5035332</v>
      </c>
    </row>
    <row r="509" spans="1:25" x14ac:dyDescent="0.3">
      <c r="A509" s="1">
        <v>45721</v>
      </c>
      <c r="B509">
        <v>143</v>
      </c>
      <c r="C509">
        <v>2110.08934560647</v>
      </c>
      <c r="D509">
        <v>6494.3079545130004</v>
      </c>
      <c r="E509">
        <v>62</v>
      </c>
      <c r="F509">
        <v>62</v>
      </c>
      <c r="K509">
        <v>0.747104947728229</v>
      </c>
      <c r="L509">
        <v>1.7016063025306201</v>
      </c>
      <c r="M509">
        <v>0.273954253689284</v>
      </c>
      <c r="N509">
        <v>9599</v>
      </c>
      <c r="O509">
        <v>65.819999694824205</v>
      </c>
      <c r="P509">
        <v>65.819999694824205</v>
      </c>
      <c r="Q509">
        <v>65.819999694824205</v>
      </c>
      <c r="R509">
        <v>1733947</v>
      </c>
      <c r="S509">
        <v>9356</v>
      </c>
      <c r="T509">
        <v>7111981</v>
      </c>
      <c r="X509">
        <v>4417</v>
      </c>
      <c r="Y509">
        <v>338827</v>
      </c>
    </row>
    <row r="510" spans="1:25" x14ac:dyDescent="0.3">
      <c r="A510" s="1">
        <v>45722</v>
      </c>
      <c r="B510">
        <v>137</v>
      </c>
      <c r="C510">
        <v>2101.9643178460901</v>
      </c>
      <c r="D510">
        <v>9466.9283046649507</v>
      </c>
      <c r="E510">
        <v>61</v>
      </c>
      <c r="F510">
        <v>61</v>
      </c>
      <c r="G510">
        <v>31.249027252197202</v>
      </c>
      <c r="H510">
        <v>75.694633483886705</v>
      </c>
      <c r="I510">
        <v>31.2624607086181</v>
      </c>
      <c r="J510">
        <v>75.707183837890597</v>
      </c>
      <c r="K510">
        <v>0.77903504361809395</v>
      </c>
      <c r="L510">
        <v>6.2106352225049397</v>
      </c>
      <c r="M510">
        <v>1.16114053097633E-2</v>
      </c>
      <c r="N510">
        <v>7224</v>
      </c>
      <c r="R510">
        <v>2205287</v>
      </c>
      <c r="S510">
        <v>4923</v>
      </c>
      <c r="T510">
        <v>5505835</v>
      </c>
      <c r="Y510">
        <v>1103742</v>
      </c>
    </row>
    <row r="511" spans="1:25" x14ac:dyDescent="0.3">
      <c r="A511" s="1">
        <v>45723</v>
      </c>
      <c r="B511">
        <v>192</v>
      </c>
      <c r="C511">
        <v>2384.6021041388899</v>
      </c>
      <c r="D511">
        <v>8975.0751984745293</v>
      </c>
      <c r="E511">
        <v>58</v>
      </c>
      <c r="F511">
        <v>57</v>
      </c>
      <c r="G511">
        <v>31.249809265136701</v>
      </c>
      <c r="H511">
        <v>75.697166442871094</v>
      </c>
      <c r="I511">
        <v>31.262344360351499</v>
      </c>
      <c r="J511">
        <v>75.707984924316406</v>
      </c>
      <c r="K511">
        <v>0.78908144551497095</v>
      </c>
      <c r="L511">
        <v>4.4437231282940903</v>
      </c>
      <c r="M511">
        <v>2.15088601235539E-3</v>
      </c>
      <c r="N511">
        <v>13201</v>
      </c>
      <c r="S511">
        <v>1154</v>
      </c>
      <c r="T511">
        <v>12670151</v>
      </c>
      <c r="Y511">
        <v>2522502</v>
      </c>
    </row>
    <row r="512" spans="1:25" x14ac:dyDescent="0.3">
      <c r="A512" s="1">
        <v>45724</v>
      </c>
      <c r="B512">
        <v>49</v>
      </c>
      <c r="C512">
        <v>1672.8463340738899</v>
      </c>
      <c r="D512">
        <v>1600.7160757192401</v>
      </c>
      <c r="E512">
        <v>7</v>
      </c>
      <c r="F512">
        <v>7</v>
      </c>
      <c r="G512">
        <v>31.253826141357401</v>
      </c>
      <c r="H512">
        <v>75.693374633789006</v>
      </c>
      <c r="I512">
        <v>31.254478454589801</v>
      </c>
      <c r="J512">
        <v>75.69482421875</v>
      </c>
      <c r="K512">
        <v>0.495531498462491</v>
      </c>
      <c r="L512">
        <v>1.6593182141105101</v>
      </c>
      <c r="M512">
        <v>0.25153756144225897</v>
      </c>
      <c r="N512">
        <v>3215</v>
      </c>
      <c r="T512">
        <v>1812786</v>
      </c>
      <c r="Y512">
        <v>583519</v>
      </c>
    </row>
    <row r="513" spans="1:25" x14ac:dyDescent="0.3">
      <c r="A513" s="1">
        <v>45725</v>
      </c>
      <c r="B513">
        <v>53</v>
      </c>
      <c r="C513">
        <v>1702.38751893474</v>
      </c>
      <c r="D513">
        <v>619.77944386386298</v>
      </c>
      <c r="K513">
        <v>0.34336482459513901</v>
      </c>
      <c r="L513">
        <v>1.3382105203624399</v>
      </c>
      <c r="M513">
        <v>0.30336224418541902</v>
      </c>
      <c r="N513">
        <v>1119</v>
      </c>
      <c r="T513">
        <v>956904</v>
      </c>
      <c r="Y513">
        <v>2168417</v>
      </c>
    </row>
    <row r="514" spans="1:25" x14ac:dyDescent="0.3">
      <c r="A514" s="1">
        <v>45726</v>
      </c>
      <c r="B514">
        <v>38</v>
      </c>
      <c r="C514">
        <v>1610.5279187743399</v>
      </c>
      <c r="D514">
        <v>1480.55685911317</v>
      </c>
      <c r="E514">
        <v>6</v>
      </c>
      <c r="F514">
        <v>6</v>
      </c>
      <c r="G514">
        <v>31.249393463134702</v>
      </c>
      <c r="H514">
        <v>75.697319030761705</v>
      </c>
      <c r="I514">
        <v>31.253910064697202</v>
      </c>
      <c r="J514">
        <v>75.699424743652301</v>
      </c>
      <c r="K514">
        <v>0.42285803138027001</v>
      </c>
      <c r="L514">
        <v>3.67613520154101</v>
      </c>
      <c r="M514">
        <v>0.31382299114162399</v>
      </c>
      <c r="N514">
        <v>2300</v>
      </c>
      <c r="T514">
        <v>590782</v>
      </c>
      <c r="Y514">
        <v>423172</v>
      </c>
    </row>
    <row r="515" spans="1:25" x14ac:dyDescent="0.3">
      <c r="A515" s="1">
        <v>45727</v>
      </c>
      <c r="B515">
        <v>149</v>
      </c>
      <c r="C515">
        <v>2167.16823974409</v>
      </c>
      <c r="D515">
        <v>7362.1256563138004</v>
      </c>
      <c r="E515">
        <v>53</v>
      </c>
      <c r="F515">
        <v>53</v>
      </c>
      <c r="G515">
        <v>31.221578598022401</v>
      </c>
      <c r="H515">
        <v>75.694755554199205</v>
      </c>
      <c r="I515">
        <v>31.264938354492099</v>
      </c>
      <c r="J515">
        <v>75.766799926757798</v>
      </c>
      <c r="K515">
        <v>0.57729007896509998</v>
      </c>
      <c r="L515">
        <v>3.6770358388355802</v>
      </c>
      <c r="M515">
        <v>8.3533874131820104E-2</v>
      </c>
      <c r="N515">
        <v>8764</v>
      </c>
      <c r="R515">
        <v>1400760</v>
      </c>
      <c r="T515">
        <v>5076156</v>
      </c>
      <c r="Y515">
        <v>1501984</v>
      </c>
    </row>
    <row r="516" spans="1:25" x14ac:dyDescent="0.3">
      <c r="A516" s="1">
        <v>45728</v>
      </c>
      <c r="B516">
        <v>164</v>
      </c>
      <c r="C516">
        <v>2195.8084224098998</v>
      </c>
      <c r="D516">
        <v>6796.4483676048003</v>
      </c>
      <c r="E516">
        <v>54</v>
      </c>
      <c r="F516">
        <v>54</v>
      </c>
      <c r="G516">
        <v>31.2486457824707</v>
      </c>
      <c r="H516">
        <v>75.698867797851506</v>
      </c>
      <c r="I516">
        <v>31.2620944976806</v>
      </c>
      <c r="J516">
        <v>75.707710266113196</v>
      </c>
      <c r="K516">
        <v>0.493727460581452</v>
      </c>
      <c r="L516">
        <v>1.5435128130085001</v>
      </c>
      <c r="M516">
        <v>0.15127500104312799</v>
      </c>
      <c r="N516">
        <v>11517</v>
      </c>
      <c r="T516">
        <v>7256678</v>
      </c>
      <c r="Y516">
        <v>1921119</v>
      </c>
    </row>
    <row r="517" spans="1:25" x14ac:dyDescent="0.3">
      <c r="A517" s="1">
        <v>45729</v>
      </c>
      <c r="B517">
        <v>180</v>
      </c>
      <c r="C517">
        <v>1941.1256900441299</v>
      </c>
      <c r="D517">
        <v>10058.6882784307</v>
      </c>
      <c r="E517">
        <v>81</v>
      </c>
      <c r="F517">
        <v>81</v>
      </c>
      <c r="G517">
        <v>31.249090194702099</v>
      </c>
      <c r="H517">
        <v>75.697525024414006</v>
      </c>
      <c r="I517">
        <v>31.260108947753899</v>
      </c>
      <c r="J517">
        <v>75.708923339843693</v>
      </c>
      <c r="K517">
        <v>0.483977751701823</v>
      </c>
      <c r="L517">
        <v>3.5234343202265199</v>
      </c>
      <c r="M517">
        <v>1.22591477931997E-2</v>
      </c>
      <c r="N517">
        <v>11094</v>
      </c>
      <c r="R517">
        <v>1799596</v>
      </c>
      <c r="T517">
        <v>7134713</v>
      </c>
      <c r="W517">
        <v>1500000</v>
      </c>
    </row>
    <row r="518" spans="1:25" x14ac:dyDescent="0.3">
      <c r="A518" s="1">
        <v>45730</v>
      </c>
      <c r="B518">
        <v>83</v>
      </c>
      <c r="C518">
        <v>1443.7462651190201</v>
      </c>
      <c r="D518">
        <v>992.62825299604106</v>
      </c>
      <c r="K518">
        <v>0.31620488820209702</v>
      </c>
      <c r="L518">
        <v>0.83434215529628497</v>
      </c>
      <c r="M518">
        <v>0.25105840898103698</v>
      </c>
      <c r="N518">
        <v>1927</v>
      </c>
      <c r="T518">
        <v>135343</v>
      </c>
      <c r="W518">
        <v>3900000</v>
      </c>
      <c r="Y518">
        <v>43468</v>
      </c>
    </row>
    <row r="519" spans="1:25" x14ac:dyDescent="0.3">
      <c r="A519" s="1">
        <v>45731</v>
      </c>
      <c r="B519">
        <v>41</v>
      </c>
      <c r="C519">
        <v>1669.44981086955</v>
      </c>
      <c r="D519">
        <v>1803.00843153554</v>
      </c>
      <c r="E519">
        <v>9</v>
      </c>
      <c r="F519">
        <v>9</v>
      </c>
      <c r="G519">
        <v>31.253026962280199</v>
      </c>
      <c r="H519">
        <v>75.694793701171804</v>
      </c>
      <c r="I519">
        <v>31.2541790008544</v>
      </c>
      <c r="J519">
        <v>75.696327209472599</v>
      </c>
      <c r="K519">
        <v>0.66930157000241597</v>
      </c>
      <c r="L519">
        <v>1.45607320945247</v>
      </c>
      <c r="M519">
        <v>9.5318701712609102E-2</v>
      </c>
      <c r="N519">
        <v>3150</v>
      </c>
      <c r="T519">
        <v>2990711</v>
      </c>
      <c r="Y519">
        <v>96398</v>
      </c>
    </row>
    <row r="520" spans="1:25" x14ac:dyDescent="0.3">
      <c r="A520" s="1">
        <v>45732</v>
      </c>
      <c r="B520">
        <v>11</v>
      </c>
      <c r="C520">
        <v>1546.1721726892599</v>
      </c>
      <c r="D520">
        <v>517.14925685887397</v>
      </c>
      <c r="E520">
        <v>2</v>
      </c>
      <c r="F520">
        <v>2</v>
      </c>
      <c r="K520">
        <v>0.43627677182809199</v>
      </c>
      <c r="L520">
        <v>1.74390792892956</v>
      </c>
      <c r="M520">
        <v>0.31382298082787502</v>
      </c>
      <c r="N520">
        <v>1014</v>
      </c>
      <c r="T520">
        <v>1024369</v>
      </c>
    </row>
    <row r="521" spans="1:25" x14ac:dyDescent="0.3">
      <c r="A521" s="1">
        <v>45733</v>
      </c>
      <c r="B521">
        <v>139</v>
      </c>
      <c r="C521">
        <v>1883.1118381839301</v>
      </c>
      <c r="D521">
        <v>7869.13454599339</v>
      </c>
      <c r="E521">
        <v>43</v>
      </c>
      <c r="F521">
        <v>43</v>
      </c>
      <c r="G521">
        <v>31.251295089721602</v>
      </c>
      <c r="H521">
        <v>75.684181213378906</v>
      </c>
      <c r="I521">
        <v>31.274950027465799</v>
      </c>
      <c r="J521">
        <v>75.706703186035099</v>
      </c>
      <c r="K521">
        <v>0.523372224965722</v>
      </c>
      <c r="L521">
        <v>4.4274990092724202</v>
      </c>
      <c r="M521">
        <v>5.8680596462484899E-2</v>
      </c>
      <c r="N521">
        <v>8077</v>
      </c>
      <c r="R521">
        <v>1662161</v>
      </c>
      <c r="T521">
        <v>5700555</v>
      </c>
    </row>
    <row r="522" spans="1:25" x14ac:dyDescent="0.3">
      <c r="A522" s="1">
        <v>45734</v>
      </c>
      <c r="B522">
        <v>60</v>
      </c>
      <c r="C522">
        <v>1650.57800850743</v>
      </c>
      <c r="D522">
        <v>3855.1626887561602</v>
      </c>
      <c r="E522">
        <v>26</v>
      </c>
      <c r="F522">
        <v>26</v>
      </c>
      <c r="G522">
        <v>31.249036788940401</v>
      </c>
      <c r="H522">
        <v>75.697341918945298</v>
      </c>
      <c r="I522">
        <v>31.2599372863769</v>
      </c>
      <c r="J522">
        <v>75.707527160644503</v>
      </c>
      <c r="K522">
        <v>0.44356783366603397</v>
      </c>
      <c r="L522">
        <v>4.1747574127551701</v>
      </c>
      <c r="M522">
        <v>0.25105840898103698</v>
      </c>
      <c r="N522">
        <v>4288</v>
      </c>
      <c r="R522">
        <v>798861</v>
      </c>
      <c r="T522">
        <v>2169659</v>
      </c>
    </row>
    <row r="523" spans="1:25" x14ac:dyDescent="0.3">
      <c r="A523" s="1">
        <v>45735</v>
      </c>
      <c r="B523">
        <v>158</v>
      </c>
      <c r="C523">
        <v>1890.6747993415299</v>
      </c>
      <c r="D523">
        <v>6772.9567162722797</v>
      </c>
      <c r="E523">
        <v>52</v>
      </c>
      <c r="F523">
        <v>52</v>
      </c>
      <c r="G523">
        <v>31.249080657958899</v>
      </c>
      <c r="H523">
        <v>75.694816589355398</v>
      </c>
      <c r="I523">
        <v>31.260236740112301</v>
      </c>
      <c r="J523">
        <v>75.707580566406193</v>
      </c>
      <c r="K523">
        <v>0.45651369380256801</v>
      </c>
      <c r="L523">
        <v>1.46508544771995</v>
      </c>
      <c r="M523">
        <v>8.8814323204893394E-2</v>
      </c>
      <c r="N523">
        <v>11303</v>
      </c>
      <c r="R523">
        <v>1244493</v>
      </c>
      <c r="T523">
        <v>6292359</v>
      </c>
    </row>
    <row r="524" spans="1:25" x14ac:dyDescent="0.3">
      <c r="A524" s="1">
        <v>45736</v>
      </c>
      <c r="B524">
        <v>132</v>
      </c>
      <c r="C524">
        <v>1997.75909548292</v>
      </c>
      <c r="D524">
        <v>5567.8527972955098</v>
      </c>
      <c r="E524">
        <v>47</v>
      </c>
      <c r="F524">
        <v>47</v>
      </c>
      <c r="G524">
        <v>31.249080657958899</v>
      </c>
      <c r="H524">
        <v>75.695755004882798</v>
      </c>
      <c r="I524">
        <v>31.260288238525298</v>
      </c>
      <c r="J524">
        <v>75.707527160644503</v>
      </c>
      <c r="K524">
        <v>0.52479850078928603</v>
      </c>
      <c r="L524">
        <v>3.27196357468473</v>
      </c>
      <c r="M524">
        <v>0.27325638930213397</v>
      </c>
      <c r="N524">
        <v>5157</v>
      </c>
      <c r="R524">
        <v>2515802</v>
      </c>
      <c r="T524">
        <v>4015244</v>
      </c>
      <c r="V524">
        <v>900000</v>
      </c>
      <c r="Y524">
        <v>363744</v>
      </c>
    </row>
    <row r="525" spans="1:25" x14ac:dyDescent="0.3">
      <c r="A525" s="1">
        <v>45737</v>
      </c>
      <c r="B525">
        <v>121</v>
      </c>
      <c r="C525">
        <v>1853.4886607271401</v>
      </c>
      <c r="D525">
        <v>6017.66071576594</v>
      </c>
      <c r="E525">
        <v>34</v>
      </c>
      <c r="F525">
        <v>34</v>
      </c>
      <c r="G525">
        <v>31.248918533325099</v>
      </c>
      <c r="H525">
        <v>75.694770812988196</v>
      </c>
      <c r="I525">
        <v>31.2552185058593</v>
      </c>
      <c r="J525">
        <v>75.705841064453097</v>
      </c>
      <c r="K525">
        <v>0.53847782608768602</v>
      </c>
      <c r="L525">
        <v>2.7333658021859701</v>
      </c>
      <c r="M525">
        <v>9.6305831260322994E-2</v>
      </c>
      <c r="N525">
        <v>9696</v>
      </c>
      <c r="T525">
        <v>6911653</v>
      </c>
    </row>
    <row r="526" spans="1:25" x14ac:dyDescent="0.3">
      <c r="A526" s="1">
        <v>45738</v>
      </c>
      <c r="B526">
        <v>199</v>
      </c>
      <c r="C526">
        <v>2276.4924127311401</v>
      </c>
      <c r="D526">
        <v>6871.6860896415401</v>
      </c>
      <c r="E526">
        <v>85</v>
      </c>
      <c r="F526">
        <v>85</v>
      </c>
      <c r="G526">
        <v>31.249107360839801</v>
      </c>
      <c r="H526">
        <v>75.694770812988196</v>
      </c>
      <c r="I526">
        <v>31.255773544311499</v>
      </c>
      <c r="J526">
        <v>75.705413818359304</v>
      </c>
      <c r="K526">
        <v>0.49361167331908501</v>
      </c>
      <c r="L526">
        <v>4.8303243188897698</v>
      </c>
      <c r="M526">
        <v>4.5310838983436498E-2</v>
      </c>
      <c r="N526">
        <v>10329</v>
      </c>
      <c r="R526">
        <v>3292102</v>
      </c>
      <c r="T526">
        <v>6670298</v>
      </c>
      <c r="Y526">
        <v>1509753</v>
      </c>
    </row>
    <row r="527" spans="1:25" x14ac:dyDescent="0.3">
      <c r="A527" s="1">
        <v>45739</v>
      </c>
      <c r="B527">
        <v>143</v>
      </c>
      <c r="C527">
        <v>1783.9193077382399</v>
      </c>
      <c r="D527">
        <v>7339.3483998660504</v>
      </c>
      <c r="E527">
        <v>50</v>
      </c>
      <c r="F527">
        <v>50</v>
      </c>
      <c r="G527">
        <v>31.249086380004801</v>
      </c>
      <c r="H527">
        <v>75.697601318359304</v>
      </c>
      <c r="I527">
        <v>31.260124206542901</v>
      </c>
      <c r="J527">
        <v>75.707649230957003</v>
      </c>
      <c r="K527">
        <v>0.59702154615699699</v>
      </c>
      <c r="L527">
        <v>3.8123503321275698</v>
      </c>
      <c r="M527">
        <v>0.26151917602191299</v>
      </c>
      <c r="N527">
        <v>6711</v>
      </c>
      <c r="R527">
        <v>1902055</v>
      </c>
      <c r="T527">
        <v>3947789</v>
      </c>
      <c r="W527">
        <v>1800000</v>
      </c>
    </row>
    <row r="528" spans="1:25" x14ac:dyDescent="0.3">
      <c r="A528" s="1">
        <v>45740</v>
      </c>
      <c r="B528">
        <v>162</v>
      </c>
      <c r="C528">
        <v>2025.9103008710399</v>
      </c>
      <c r="D528">
        <v>6789.3031504016699</v>
      </c>
      <c r="E528">
        <v>51</v>
      </c>
      <c r="F528">
        <v>51</v>
      </c>
      <c r="G528">
        <v>31.249130249023398</v>
      </c>
      <c r="H528">
        <v>75.697807312011705</v>
      </c>
      <c r="I528">
        <v>31.257947921752901</v>
      </c>
      <c r="J528">
        <v>75.706787109375</v>
      </c>
      <c r="K528">
        <v>0.48204076135752</v>
      </c>
      <c r="L528">
        <v>4.2490435150947903</v>
      </c>
      <c r="M528">
        <v>6.8305774295311497E-2</v>
      </c>
      <c r="N528">
        <v>8072</v>
      </c>
      <c r="R528">
        <v>2059252</v>
      </c>
      <c r="T528">
        <v>3466342</v>
      </c>
      <c r="U528">
        <v>67611</v>
      </c>
      <c r="Y528">
        <v>1456244</v>
      </c>
    </row>
    <row r="529" spans="1:25" x14ac:dyDescent="0.3">
      <c r="A529" s="1">
        <v>45741</v>
      </c>
      <c r="B529">
        <v>131</v>
      </c>
      <c r="C529">
        <v>1860.0824806805199</v>
      </c>
      <c r="D529">
        <v>4716.2285623752696</v>
      </c>
      <c r="E529">
        <v>40</v>
      </c>
      <c r="F529">
        <v>40</v>
      </c>
      <c r="G529">
        <v>31.249160766601499</v>
      </c>
      <c r="H529">
        <v>75.696762084960895</v>
      </c>
      <c r="I529">
        <v>31.260267257690401</v>
      </c>
      <c r="J529">
        <v>75.706710815429602</v>
      </c>
      <c r="K529">
        <v>0.88343034756118999</v>
      </c>
      <c r="L529">
        <v>5.1468467819643102</v>
      </c>
      <c r="M529">
        <v>0.26151917602191299</v>
      </c>
      <c r="N529">
        <v>4481</v>
      </c>
      <c r="R529">
        <v>2475697</v>
      </c>
      <c r="T529">
        <v>1654847</v>
      </c>
      <c r="Y529">
        <v>1509843</v>
      </c>
    </row>
    <row r="530" spans="1:25" x14ac:dyDescent="0.3">
      <c r="A530" s="1">
        <v>45742</v>
      </c>
      <c r="B530">
        <v>110</v>
      </c>
      <c r="C530">
        <v>1832.63845988817</v>
      </c>
      <c r="D530">
        <v>4661.82030509385</v>
      </c>
      <c r="E530">
        <v>41</v>
      </c>
      <c r="F530">
        <v>41</v>
      </c>
      <c r="G530">
        <v>31.2489929199218</v>
      </c>
      <c r="H530">
        <v>75.696205139160099</v>
      </c>
      <c r="I530">
        <v>31.251567840576101</v>
      </c>
      <c r="J530">
        <v>75.704971313476506</v>
      </c>
      <c r="K530">
        <v>0.41788051491754402</v>
      </c>
      <c r="L530">
        <v>1.5327344216938501</v>
      </c>
      <c r="M530">
        <v>3.6992604434602797E-2</v>
      </c>
      <c r="N530">
        <v>6218</v>
      </c>
      <c r="R530">
        <v>2104065</v>
      </c>
      <c r="T530">
        <v>3769737</v>
      </c>
      <c r="U530">
        <v>213869</v>
      </c>
    </row>
    <row r="531" spans="1:25" x14ac:dyDescent="0.3">
      <c r="A531" s="1">
        <v>45743</v>
      </c>
      <c r="B531">
        <v>124</v>
      </c>
      <c r="C531">
        <v>1862.09170790743</v>
      </c>
      <c r="D531">
        <v>5172.2799031963996</v>
      </c>
      <c r="E531">
        <v>20</v>
      </c>
      <c r="F531">
        <v>20</v>
      </c>
      <c r="G531">
        <v>31.250591278076101</v>
      </c>
      <c r="H531">
        <v>75.701751708984304</v>
      </c>
      <c r="I531">
        <v>31.2569866180419</v>
      </c>
      <c r="J531">
        <v>75.706565856933594</v>
      </c>
      <c r="K531">
        <v>0.55915140415219</v>
      </c>
      <c r="L531">
        <v>2.3202219494859899</v>
      </c>
      <c r="M531">
        <v>0.27080453552459599</v>
      </c>
      <c r="N531">
        <v>8115</v>
      </c>
      <c r="T531">
        <v>4466391</v>
      </c>
      <c r="Y531">
        <v>1166552</v>
      </c>
    </row>
    <row r="532" spans="1:25" x14ac:dyDescent="0.3">
      <c r="A532" s="1">
        <v>45744</v>
      </c>
      <c r="B532">
        <v>125</v>
      </c>
      <c r="C532">
        <v>1768.43252633318</v>
      </c>
      <c r="D532">
        <v>6275.7541136077398</v>
      </c>
      <c r="E532">
        <v>41</v>
      </c>
      <c r="F532">
        <v>41</v>
      </c>
      <c r="G532">
        <v>31.249141693115199</v>
      </c>
      <c r="H532">
        <v>75.697883605957003</v>
      </c>
      <c r="I532">
        <v>31.2620544433593</v>
      </c>
      <c r="J532">
        <v>75.705009460449205</v>
      </c>
      <c r="K532">
        <v>0.53469085943471495</v>
      </c>
      <c r="L532">
        <v>3.3327587945830599</v>
      </c>
      <c r="M532">
        <v>0.10782637981695201</v>
      </c>
      <c r="N532">
        <v>8093</v>
      </c>
      <c r="R532">
        <v>1111210</v>
      </c>
      <c r="T532">
        <v>4093177</v>
      </c>
    </row>
    <row r="533" spans="1:25" x14ac:dyDescent="0.3">
      <c r="A533" s="1">
        <v>45745</v>
      </c>
      <c r="B533">
        <v>88</v>
      </c>
      <c r="C533">
        <v>1725.5363197828401</v>
      </c>
      <c r="D533">
        <v>4699.4549192903896</v>
      </c>
      <c r="E533">
        <v>50</v>
      </c>
      <c r="F533">
        <v>50</v>
      </c>
      <c r="G533">
        <v>31.249139785766602</v>
      </c>
      <c r="H533">
        <v>75.697715759277301</v>
      </c>
      <c r="I533">
        <v>31.260498046875</v>
      </c>
      <c r="J533">
        <v>75.707473754882798</v>
      </c>
      <c r="K533">
        <v>0.52738561174431597</v>
      </c>
      <c r="L533">
        <v>1.56843899072421</v>
      </c>
      <c r="M533">
        <v>0.282440710103666</v>
      </c>
      <c r="N533">
        <v>8273</v>
      </c>
      <c r="T533">
        <v>4460463</v>
      </c>
    </row>
    <row r="534" spans="1:25" x14ac:dyDescent="0.3">
      <c r="A534" s="1">
        <v>45746</v>
      </c>
      <c r="B534">
        <v>108</v>
      </c>
      <c r="C534">
        <v>1817.4172705425799</v>
      </c>
      <c r="D534">
        <v>6578.3249600558902</v>
      </c>
      <c r="E534">
        <v>58</v>
      </c>
      <c r="F534">
        <v>58</v>
      </c>
      <c r="G534">
        <v>31.249078750610298</v>
      </c>
      <c r="H534">
        <v>75.697723388671804</v>
      </c>
      <c r="I534">
        <v>31.261306762695298</v>
      </c>
      <c r="J534">
        <v>75.706092834472599</v>
      </c>
      <c r="K534">
        <v>0.586123068301873</v>
      </c>
      <c r="L534">
        <v>2.6024415132832899</v>
      </c>
      <c r="M534">
        <v>0.25105840898103698</v>
      </c>
      <c r="N534">
        <v>6803</v>
      </c>
      <c r="R534">
        <v>1708838</v>
      </c>
      <c r="T534">
        <v>4392087</v>
      </c>
    </row>
    <row r="535" spans="1:25" x14ac:dyDescent="0.3">
      <c r="A535" s="1">
        <v>45747</v>
      </c>
      <c r="B535">
        <v>53</v>
      </c>
      <c r="C535">
        <v>1668.88298753914</v>
      </c>
      <c r="D535">
        <v>792.32841840986998</v>
      </c>
      <c r="E535">
        <v>38</v>
      </c>
      <c r="F535">
        <v>38</v>
      </c>
      <c r="K535">
        <v>0.41700637078506497</v>
      </c>
      <c r="L535">
        <v>1.23611396140903</v>
      </c>
      <c r="M535">
        <v>0.266277575750413</v>
      </c>
      <c r="N535">
        <v>1296</v>
      </c>
      <c r="R535">
        <v>2202243</v>
      </c>
      <c r="T535">
        <v>373300</v>
      </c>
      <c r="U535">
        <v>281077</v>
      </c>
    </row>
    <row r="536" spans="1:25" x14ac:dyDescent="0.3">
      <c r="A536" s="1">
        <v>45748</v>
      </c>
      <c r="B536">
        <v>132</v>
      </c>
      <c r="C536">
        <v>2039.90728198939</v>
      </c>
      <c r="D536">
        <v>4874.5049397288003</v>
      </c>
      <c r="E536">
        <v>38</v>
      </c>
      <c r="F536">
        <v>38</v>
      </c>
      <c r="G536">
        <v>31.2491550445556</v>
      </c>
      <c r="H536">
        <v>75.697883605957003</v>
      </c>
      <c r="I536">
        <v>31.2594280242919</v>
      </c>
      <c r="J536">
        <v>75.706649780273395</v>
      </c>
      <c r="K536">
        <v>0.52039671031875601</v>
      </c>
      <c r="L536">
        <v>2.3497400081011399</v>
      </c>
      <c r="M536">
        <v>4.0621002029126801E-2</v>
      </c>
      <c r="N536">
        <v>5952</v>
      </c>
      <c r="R536">
        <v>1727737</v>
      </c>
      <c r="T536">
        <v>3769568</v>
      </c>
      <c r="Y536">
        <v>1717351</v>
      </c>
    </row>
    <row r="537" spans="1:25" x14ac:dyDescent="0.3">
      <c r="A537" s="1">
        <v>45749</v>
      </c>
      <c r="B537">
        <v>152</v>
      </c>
      <c r="C537">
        <v>1843.6701442764099</v>
      </c>
      <c r="D537">
        <v>5142.5851599787002</v>
      </c>
      <c r="E537">
        <v>43</v>
      </c>
      <c r="F537">
        <v>43</v>
      </c>
      <c r="G537">
        <v>31.248151779174801</v>
      </c>
      <c r="H537">
        <v>75.696647644042898</v>
      </c>
      <c r="I537">
        <v>31.252107620239201</v>
      </c>
      <c r="J537">
        <v>75.705070495605398</v>
      </c>
      <c r="K537">
        <v>0.48726985030464498</v>
      </c>
      <c r="L537">
        <v>2.3878494280426001</v>
      </c>
      <c r="M537">
        <v>0.15456175411919501</v>
      </c>
      <c r="N537">
        <v>8307</v>
      </c>
      <c r="R537">
        <v>2125195</v>
      </c>
      <c r="T537">
        <v>4449492</v>
      </c>
    </row>
    <row r="538" spans="1:25" x14ac:dyDescent="0.3">
      <c r="A538" s="1">
        <v>45750</v>
      </c>
      <c r="B538">
        <v>152</v>
      </c>
      <c r="C538">
        <v>1887.91990549709</v>
      </c>
      <c r="D538">
        <v>6992.0882775846103</v>
      </c>
      <c r="E538">
        <v>50</v>
      </c>
      <c r="F538">
        <v>50</v>
      </c>
      <c r="G538">
        <v>31.249996185302699</v>
      </c>
      <c r="H538">
        <v>75.697547912597599</v>
      </c>
      <c r="I538">
        <v>31.2613105773925</v>
      </c>
      <c r="J538">
        <v>75.706108093261705</v>
      </c>
      <c r="K538">
        <v>0.67987412924503898</v>
      </c>
      <c r="L538">
        <v>3.7492621324437501</v>
      </c>
      <c r="M538">
        <v>0.177762663382457</v>
      </c>
      <c r="N538">
        <v>8107</v>
      </c>
      <c r="R538">
        <v>2245614</v>
      </c>
      <c r="T538">
        <v>5168335</v>
      </c>
    </row>
    <row r="539" spans="1:25" x14ac:dyDescent="0.3">
      <c r="A539" s="1">
        <v>45751</v>
      </c>
      <c r="B539">
        <v>85</v>
      </c>
      <c r="C539">
        <v>1704.14093416798</v>
      </c>
      <c r="D539">
        <v>4535.6174946739102</v>
      </c>
      <c r="E539">
        <v>45</v>
      </c>
      <c r="F539">
        <v>45</v>
      </c>
      <c r="G539">
        <v>31.2490539550781</v>
      </c>
      <c r="H539">
        <v>75.697769165039006</v>
      </c>
      <c r="I539">
        <v>31.257938385009702</v>
      </c>
      <c r="J539">
        <v>75.705108642578097</v>
      </c>
      <c r="K539">
        <v>0.55216198582694598</v>
      </c>
      <c r="L539">
        <v>3.67823596796703</v>
      </c>
      <c r="M539">
        <v>3.6476154137914801E-2</v>
      </c>
      <c r="N539">
        <v>6092</v>
      </c>
      <c r="R539">
        <v>867152</v>
      </c>
      <c r="T539">
        <v>3122694</v>
      </c>
    </row>
    <row r="540" spans="1:25" x14ac:dyDescent="0.3">
      <c r="A540" s="1">
        <v>45752</v>
      </c>
      <c r="B540">
        <v>104</v>
      </c>
      <c r="C540">
        <v>1953.3319558973001</v>
      </c>
      <c r="D540">
        <v>4991.1379501205402</v>
      </c>
      <c r="E540">
        <v>33</v>
      </c>
      <c r="F540">
        <v>33</v>
      </c>
      <c r="G540">
        <v>31.249038696288999</v>
      </c>
      <c r="H540">
        <v>75.697769165039006</v>
      </c>
      <c r="I540">
        <v>31.2591953277587</v>
      </c>
      <c r="J540">
        <v>75.7066650390625</v>
      </c>
      <c r="K540">
        <v>0.53894419999345</v>
      </c>
      <c r="L540">
        <v>3.6597649691689398</v>
      </c>
      <c r="M540">
        <v>0.26890384168232101</v>
      </c>
      <c r="N540">
        <v>5155</v>
      </c>
      <c r="R540">
        <v>1202233</v>
      </c>
      <c r="T540">
        <v>3406139</v>
      </c>
      <c r="Y540">
        <v>1280426</v>
      </c>
    </row>
    <row r="541" spans="1:25" x14ac:dyDescent="0.3">
      <c r="A541" s="1">
        <v>45753</v>
      </c>
      <c r="B541">
        <v>119</v>
      </c>
      <c r="C541">
        <v>1806.4821601976801</v>
      </c>
      <c r="D541">
        <v>7009.4108816042899</v>
      </c>
      <c r="E541">
        <v>31</v>
      </c>
      <c r="F541">
        <v>31</v>
      </c>
      <c r="G541">
        <v>31.249280929565401</v>
      </c>
      <c r="H541">
        <v>75.695991516113196</v>
      </c>
      <c r="I541">
        <v>31.261985778808501</v>
      </c>
      <c r="J541">
        <v>75.706764221191406</v>
      </c>
      <c r="K541">
        <v>0.52753332067223702</v>
      </c>
      <c r="L541">
        <v>4.0059957112659399</v>
      </c>
      <c r="M541">
        <v>0.26151917602191299</v>
      </c>
      <c r="N541">
        <v>6881</v>
      </c>
      <c r="R541">
        <v>1678897</v>
      </c>
      <c r="T541">
        <v>4214642</v>
      </c>
    </row>
    <row r="542" spans="1:25" x14ac:dyDescent="0.3">
      <c r="A542" s="1">
        <v>45754</v>
      </c>
      <c r="B542">
        <v>169</v>
      </c>
      <c r="C542">
        <v>2010.4373407451101</v>
      </c>
      <c r="D542">
        <v>6308.6558884742299</v>
      </c>
      <c r="E542">
        <v>62</v>
      </c>
      <c r="F542">
        <v>62</v>
      </c>
      <c r="G542">
        <v>31.246332168579102</v>
      </c>
      <c r="H542">
        <v>75.700942993164006</v>
      </c>
      <c r="I542">
        <v>31.255876541137599</v>
      </c>
      <c r="J542">
        <v>75.710182189941406</v>
      </c>
      <c r="K542">
        <v>0.51236215040889099</v>
      </c>
      <c r="L542">
        <v>2.34155928940491</v>
      </c>
      <c r="M542">
        <v>4.6215510432451E-2</v>
      </c>
      <c r="N542">
        <v>9683</v>
      </c>
      <c r="R542">
        <v>2489692</v>
      </c>
      <c r="T542">
        <v>7254235</v>
      </c>
    </row>
    <row r="543" spans="1:25" x14ac:dyDescent="0.3">
      <c r="A543" s="1">
        <v>45755</v>
      </c>
      <c r="B543">
        <v>178</v>
      </c>
      <c r="C543">
        <v>1950.3250165618199</v>
      </c>
      <c r="D543">
        <v>7736.3971457056696</v>
      </c>
      <c r="E543">
        <v>43</v>
      </c>
      <c r="F543">
        <v>43</v>
      </c>
      <c r="G543">
        <v>31.246452331542901</v>
      </c>
      <c r="H543">
        <v>75.695442199707003</v>
      </c>
      <c r="I543">
        <v>31.260541915893501</v>
      </c>
      <c r="J543">
        <v>75.706787109375</v>
      </c>
      <c r="K543">
        <v>0.53268024150117899</v>
      </c>
      <c r="L543">
        <v>3.7139895530976799</v>
      </c>
      <c r="M543">
        <v>8.4462735418010707E-2</v>
      </c>
      <c r="N543">
        <v>11603</v>
      </c>
      <c r="R543">
        <v>1190500</v>
      </c>
      <c r="T543">
        <v>7492860</v>
      </c>
    </row>
    <row r="544" spans="1:25" x14ac:dyDescent="0.3">
      <c r="A544" s="1">
        <v>45756</v>
      </c>
      <c r="B544">
        <v>158</v>
      </c>
      <c r="C544">
        <v>2001.2374540046601</v>
      </c>
      <c r="D544">
        <v>9952.2278039698394</v>
      </c>
      <c r="E544">
        <v>74</v>
      </c>
      <c r="F544">
        <v>74</v>
      </c>
      <c r="G544">
        <v>31.249010086059499</v>
      </c>
      <c r="H544">
        <v>75.693206787109304</v>
      </c>
      <c r="I544">
        <v>31.261814117431602</v>
      </c>
      <c r="J544">
        <v>75.706779479980398</v>
      </c>
      <c r="K544">
        <v>0.494631913031505</v>
      </c>
      <c r="L544">
        <v>4.2306689769916703</v>
      </c>
      <c r="M544">
        <v>5.4254695890395502E-3</v>
      </c>
      <c r="N544">
        <v>9551</v>
      </c>
      <c r="R544">
        <v>2397732</v>
      </c>
      <c r="T544">
        <v>7176392</v>
      </c>
    </row>
    <row r="545" spans="1:20" x14ac:dyDescent="0.3">
      <c r="A545" s="1">
        <v>45757</v>
      </c>
      <c r="B545">
        <v>164</v>
      </c>
      <c r="C545">
        <v>1943.7404022712201</v>
      </c>
      <c r="D545">
        <v>8741.3947319751205</v>
      </c>
      <c r="E545">
        <v>39</v>
      </c>
      <c r="F545">
        <v>39</v>
      </c>
      <c r="G545">
        <v>31.249082565307599</v>
      </c>
      <c r="H545">
        <v>75.696685791015597</v>
      </c>
      <c r="I545">
        <v>31.261013031005799</v>
      </c>
      <c r="J545">
        <v>75.705825805664006</v>
      </c>
      <c r="K545">
        <v>0.52315862611928399</v>
      </c>
      <c r="L545">
        <v>4.5520833123218702</v>
      </c>
      <c r="M545">
        <v>7.0750636201099698E-2</v>
      </c>
      <c r="N545">
        <v>9087</v>
      </c>
      <c r="R545">
        <v>1655204</v>
      </c>
      <c r="T545">
        <v>6869460</v>
      </c>
    </row>
    <row r="546" spans="1:20" x14ac:dyDescent="0.3">
      <c r="A546" s="1">
        <v>45758</v>
      </c>
      <c r="B546">
        <v>94</v>
      </c>
      <c r="C546">
        <v>1791.3260897427599</v>
      </c>
      <c r="D546">
        <v>4184.0052920437302</v>
      </c>
      <c r="E546">
        <v>48</v>
      </c>
      <c r="F546">
        <v>48</v>
      </c>
      <c r="G546">
        <v>31.249111175537099</v>
      </c>
      <c r="H546">
        <v>75.696762084960895</v>
      </c>
      <c r="I546">
        <v>31.256343841552699</v>
      </c>
      <c r="J546">
        <v>75.705802917480398</v>
      </c>
      <c r="K546">
        <v>0.49648332739725798</v>
      </c>
      <c r="L546">
        <v>2.2378525810904799</v>
      </c>
      <c r="M546">
        <v>0.15334213483474801</v>
      </c>
      <c r="N546">
        <v>3721</v>
      </c>
      <c r="R546">
        <v>2820293</v>
      </c>
      <c r="T546">
        <v>2702945</v>
      </c>
    </row>
    <row r="547" spans="1:20" x14ac:dyDescent="0.3">
      <c r="A547" s="1">
        <v>45759</v>
      </c>
      <c r="B547">
        <v>33</v>
      </c>
      <c r="C547">
        <v>940.918780126005</v>
      </c>
      <c r="D547">
        <v>833.07943457767794</v>
      </c>
      <c r="E547">
        <v>23</v>
      </c>
      <c r="F547">
        <v>23</v>
      </c>
      <c r="K547">
        <v>0.35307904217846597</v>
      </c>
      <c r="L547">
        <v>1.3226961646153601</v>
      </c>
      <c r="M547">
        <v>0.245875748135442</v>
      </c>
      <c r="N547">
        <v>1310</v>
      </c>
      <c r="R547">
        <v>1127899</v>
      </c>
      <c r="T547">
        <v>684228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47"/>
  <sheetViews>
    <sheetView workbookViewId="0">
      <selection sqref="A1:Y547"/>
    </sheetView>
  </sheetViews>
  <sheetFormatPr defaultRowHeight="14.4" x14ac:dyDescent="0.3"/>
  <cols>
    <col min="2" max="2" width="20.44140625" customWidth="1"/>
    <col min="3" max="3" width="14.5546875" customWidth="1"/>
    <col min="4" max="4" width="13.44140625" customWidth="1"/>
    <col min="5" max="5" width="13.109375" customWidth="1"/>
    <col min="6" max="6" width="14.77734375" customWidth="1"/>
    <col min="7" max="7" width="18.109375" customWidth="1"/>
    <col min="8" max="8" width="19.6640625" customWidth="1"/>
    <col min="9" max="9" width="18.44140625" customWidth="1"/>
    <col min="10" max="10" width="20" customWidth="1"/>
    <col min="11" max="11" width="20.33203125" customWidth="1"/>
    <col min="12" max="12" width="17.109375" customWidth="1"/>
    <col min="13" max="13" width="16.77734375" customWidth="1"/>
    <col min="14" max="14" width="12" customWidth="1"/>
    <col min="15" max="15" width="19.6640625" customWidth="1"/>
    <col min="16" max="16" width="16.44140625" customWidth="1"/>
    <col min="17" max="17" width="16.109375" customWidth="1"/>
    <col min="18" max="18" width="20.77734375" customWidth="1"/>
    <col min="19" max="19" width="21.44140625" customWidth="1"/>
    <col min="20" max="20" width="21.5546875" customWidth="1"/>
    <col min="21" max="21" width="21.77734375" customWidth="1"/>
    <col min="22" max="22" width="21.5546875" customWidth="1"/>
    <col min="23" max="23" width="18.77734375" customWidth="1"/>
    <col min="24" max="24" width="18.88671875" customWidth="1"/>
    <col min="25" max="25" width="19.5546875"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s="1">
        <v>45214</v>
      </c>
      <c r="B2">
        <v>2</v>
      </c>
      <c r="C2">
        <v>779.67898530092498</v>
      </c>
      <c r="D2">
        <v>115.48630474753701</v>
      </c>
      <c r="K2">
        <v>0.34060794417196999</v>
      </c>
      <c r="L2">
        <v>0.41731434680928797</v>
      </c>
      <c r="M2">
        <v>0.30448366600104099</v>
      </c>
      <c r="N2">
        <v>202</v>
      </c>
      <c r="O2">
        <v>70</v>
      </c>
      <c r="P2">
        <v>70</v>
      </c>
      <c r="Q2">
        <v>70</v>
      </c>
    </row>
    <row r="3" spans="1:25" x14ac:dyDescent="0.3">
      <c r="A3" s="1">
        <v>45215</v>
      </c>
      <c r="B3">
        <v>97</v>
      </c>
      <c r="C3">
        <v>1716.0952320573001</v>
      </c>
      <c r="D3">
        <v>3504.2230002340598</v>
      </c>
      <c r="E3">
        <v>5</v>
      </c>
      <c r="F3">
        <v>5</v>
      </c>
      <c r="K3">
        <v>0.47943025248960802</v>
      </c>
      <c r="L3">
        <v>1.5781752798133399</v>
      </c>
      <c r="M3">
        <v>0.26098599942946399</v>
      </c>
      <c r="N3">
        <v>5340</v>
      </c>
      <c r="T3">
        <v>2695964</v>
      </c>
    </row>
    <row r="4" spans="1:25" x14ac:dyDescent="0.3">
      <c r="A4" s="1">
        <v>45216</v>
      </c>
      <c r="B4">
        <v>4</v>
      </c>
      <c r="C4">
        <v>1608.67358088541</v>
      </c>
      <c r="D4">
        <v>237.497259480812</v>
      </c>
      <c r="K4">
        <v>0.39777815664402599</v>
      </c>
      <c r="L4">
        <v>0.778700154730946</v>
      </c>
      <c r="M4">
        <v>0.25011158278656997</v>
      </c>
      <c r="N4">
        <v>576</v>
      </c>
      <c r="T4">
        <v>769698</v>
      </c>
    </row>
    <row r="5" spans="1:25" x14ac:dyDescent="0.3">
      <c r="A5" s="1">
        <v>45217</v>
      </c>
      <c r="B5">
        <v>59</v>
      </c>
      <c r="C5">
        <v>1725.42075345586</v>
      </c>
      <c r="D5">
        <v>1268.6378379580101</v>
      </c>
      <c r="E5">
        <v>35</v>
      </c>
      <c r="F5">
        <v>35</v>
      </c>
      <c r="K5">
        <v>0.44042018415690598</v>
      </c>
      <c r="L5">
        <v>1.65241696966996</v>
      </c>
      <c r="M5">
        <v>0.26098599942946399</v>
      </c>
      <c r="N5">
        <v>1942</v>
      </c>
      <c r="R5">
        <v>1983437</v>
      </c>
      <c r="T5">
        <v>740402</v>
      </c>
    </row>
    <row r="6" spans="1:25" x14ac:dyDescent="0.3">
      <c r="A6" s="1">
        <v>45218</v>
      </c>
      <c r="B6">
        <v>62</v>
      </c>
      <c r="C6">
        <v>1758.0856077255501</v>
      </c>
      <c r="D6">
        <v>2352.4925720096198</v>
      </c>
      <c r="E6">
        <v>35</v>
      </c>
      <c r="F6">
        <v>35</v>
      </c>
      <c r="K6">
        <v>0.64927925597178204</v>
      </c>
      <c r="L6">
        <v>1.6019211449330399</v>
      </c>
      <c r="M6">
        <v>0.25011158278656997</v>
      </c>
      <c r="N6">
        <v>3492</v>
      </c>
      <c r="R6">
        <v>1515235</v>
      </c>
      <c r="T6">
        <v>1828029</v>
      </c>
    </row>
    <row r="7" spans="1:25" x14ac:dyDescent="0.3">
      <c r="A7" s="1">
        <v>45219</v>
      </c>
      <c r="B7">
        <v>100</v>
      </c>
      <c r="C7">
        <v>1915.75333120304</v>
      </c>
      <c r="D7">
        <v>3693.3073495551798</v>
      </c>
      <c r="E7">
        <v>45</v>
      </c>
      <c r="F7">
        <v>45</v>
      </c>
      <c r="K7">
        <v>0.50066672865528905</v>
      </c>
      <c r="L7">
        <v>1.5269035122946499</v>
      </c>
      <c r="M7">
        <v>0.25011158278656997</v>
      </c>
      <c r="N7">
        <v>5496</v>
      </c>
      <c r="R7">
        <v>1680300</v>
      </c>
      <c r="T7">
        <v>4287983</v>
      </c>
      <c r="U7">
        <v>83289</v>
      </c>
    </row>
    <row r="8" spans="1:25" x14ac:dyDescent="0.3">
      <c r="A8" s="1">
        <v>45220</v>
      </c>
      <c r="B8">
        <v>197</v>
      </c>
      <c r="C8">
        <v>2022.9197741021601</v>
      </c>
      <c r="D8">
        <v>11189.0498986775</v>
      </c>
      <c r="E8">
        <v>71</v>
      </c>
      <c r="F8">
        <v>71</v>
      </c>
      <c r="K8">
        <v>0.59175482134530399</v>
      </c>
      <c r="L8">
        <v>1.76063375530189</v>
      </c>
      <c r="M8">
        <v>0.25895970407070101</v>
      </c>
      <c r="N8">
        <v>16358</v>
      </c>
      <c r="T8">
        <v>8197883</v>
      </c>
    </row>
    <row r="9" spans="1:25" x14ac:dyDescent="0.3">
      <c r="A9" s="1">
        <v>45221</v>
      </c>
      <c r="B9">
        <v>8</v>
      </c>
      <c r="C9">
        <v>1591.52283721716</v>
      </c>
      <c r="D9">
        <v>351.09476701235099</v>
      </c>
      <c r="E9">
        <v>1</v>
      </c>
      <c r="F9">
        <v>1</v>
      </c>
      <c r="K9">
        <v>0.57633976435979695</v>
      </c>
      <c r="L9">
        <v>1.44714275681882</v>
      </c>
      <c r="M9">
        <v>0.28611926791123099</v>
      </c>
      <c r="N9">
        <v>645</v>
      </c>
      <c r="T9">
        <v>462154</v>
      </c>
    </row>
    <row r="10" spans="1:25" x14ac:dyDescent="0.3">
      <c r="A10" s="1">
        <v>45222</v>
      </c>
      <c r="B10">
        <v>177</v>
      </c>
      <c r="C10">
        <v>1991.2091660400899</v>
      </c>
      <c r="D10">
        <v>6887.6940270197101</v>
      </c>
      <c r="E10">
        <v>69</v>
      </c>
      <c r="F10">
        <v>66</v>
      </c>
      <c r="K10">
        <v>0.62152762349573798</v>
      </c>
      <c r="L10">
        <v>2.8013492727637899</v>
      </c>
      <c r="M10">
        <v>0.253046898822408</v>
      </c>
      <c r="N10">
        <v>10044</v>
      </c>
      <c r="R10">
        <v>2345058</v>
      </c>
      <c r="T10">
        <v>3947019</v>
      </c>
      <c r="U10">
        <v>472740</v>
      </c>
    </row>
    <row r="11" spans="1:25" x14ac:dyDescent="0.3">
      <c r="A11" s="1">
        <v>45223</v>
      </c>
      <c r="B11">
        <v>1</v>
      </c>
      <c r="C11">
        <v>1570.4646910850599</v>
      </c>
      <c r="D11">
        <v>91.345099800312497</v>
      </c>
      <c r="K11">
        <v>0.32825963369172001</v>
      </c>
      <c r="L11">
        <v>0.48686669898336399</v>
      </c>
      <c r="M11">
        <v>0.24026656957307699</v>
      </c>
      <c r="N11">
        <v>323</v>
      </c>
      <c r="T11">
        <v>84543</v>
      </c>
    </row>
    <row r="12" spans="1:25" x14ac:dyDescent="0.3">
      <c r="A12" s="1">
        <v>45224</v>
      </c>
      <c r="B12">
        <v>84</v>
      </c>
      <c r="C12">
        <v>1815.9531662152699</v>
      </c>
      <c r="D12">
        <v>2450.4351751476702</v>
      </c>
      <c r="E12">
        <v>53</v>
      </c>
      <c r="F12">
        <v>52</v>
      </c>
      <c r="K12">
        <v>0.57753777263822004</v>
      </c>
      <c r="L12">
        <v>1.8837093052803799</v>
      </c>
      <c r="M12">
        <v>0.28273483271525301</v>
      </c>
      <c r="N12">
        <v>3635</v>
      </c>
      <c r="R12">
        <v>2555086</v>
      </c>
      <c r="T12">
        <v>1753334</v>
      </c>
    </row>
    <row r="13" spans="1:25" x14ac:dyDescent="0.3">
      <c r="A13" s="1">
        <v>45225</v>
      </c>
      <c r="B13">
        <v>80</v>
      </c>
      <c r="C13">
        <v>1818.1564541960799</v>
      </c>
      <c r="D13">
        <v>2768.8933442943498</v>
      </c>
      <c r="E13">
        <v>45</v>
      </c>
      <c r="F13">
        <v>45</v>
      </c>
      <c r="K13">
        <v>0.71713753660490698</v>
      </c>
      <c r="L13">
        <v>1.69639604342613</v>
      </c>
      <c r="M13">
        <v>0.25347668386434002</v>
      </c>
      <c r="N13">
        <v>4118</v>
      </c>
      <c r="R13">
        <v>1780213</v>
      </c>
      <c r="T13">
        <v>2621751</v>
      </c>
    </row>
    <row r="14" spans="1:25" x14ac:dyDescent="0.3">
      <c r="A14" s="1">
        <v>45226</v>
      </c>
      <c r="B14">
        <v>105</v>
      </c>
      <c r="C14">
        <v>1892.2129275355401</v>
      </c>
      <c r="D14">
        <v>5391.5164796999197</v>
      </c>
      <c r="E14">
        <v>56</v>
      </c>
      <c r="F14">
        <v>56</v>
      </c>
      <c r="K14">
        <v>0.70573192879159397</v>
      </c>
      <c r="L14">
        <v>1.5837928038017</v>
      </c>
      <c r="M14">
        <v>0.25430795372945503</v>
      </c>
      <c r="N14">
        <v>7753</v>
      </c>
      <c r="R14">
        <v>1025848</v>
      </c>
      <c r="T14">
        <v>4756689</v>
      </c>
    </row>
    <row r="15" spans="1:25" x14ac:dyDescent="0.3">
      <c r="A15" s="1">
        <v>45227</v>
      </c>
      <c r="B15">
        <v>10</v>
      </c>
      <c r="C15">
        <v>1648.34400651909</v>
      </c>
      <c r="D15">
        <v>459.87033564486097</v>
      </c>
      <c r="K15">
        <v>0.42619135065909403</v>
      </c>
      <c r="L15">
        <v>1.5212111144042699</v>
      </c>
      <c r="M15">
        <v>0.25011158278656997</v>
      </c>
      <c r="N15">
        <v>827</v>
      </c>
      <c r="T15">
        <v>1481061</v>
      </c>
    </row>
    <row r="16" spans="1:25" x14ac:dyDescent="0.3">
      <c r="A16" s="1">
        <v>45228</v>
      </c>
      <c r="B16">
        <v>27</v>
      </c>
      <c r="C16">
        <v>1664.29948814201</v>
      </c>
      <c r="D16">
        <v>1511.5396276010699</v>
      </c>
      <c r="E16">
        <v>9</v>
      </c>
      <c r="F16">
        <v>9</v>
      </c>
      <c r="K16">
        <v>0.45812378864959902</v>
      </c>
      <c r="L16">
        <v>1.52866271254762</v>
      </c>
      <c r="M16">
        <v>0.28273483271525301</v>
      </c>
      <c r="N16">
        <v>2289</v>
      </c>
      <c r="T16">
        <v>1767175</v>
      </c>
    </row>
    <row r="17" spans="1:21" x14ac:dyDescent="0.3">
      <c r="A17" s="1">
        <v>45229</v>
      </c>
      <c r="B17">
        <v>183</v>
      </c>
      <c r="C17">
        <v>2124.7890104882699</v>
      </c>
      <c r="D17">
        <v>6620.4374188311403</v>
      </c>
      <c r="E17">
        <v>80</v>
      </c>
      <c r="F17">
        <v>77</v>
      </c>
      <c r="K17">
        <v>0.68630530272109502</v>
      </c>
      <c r="L17">
        <v>1.9408612911907199</v>
      </c>
      <c r="M17">
        <v>0.25011158278656997</v>
      </c>
      <c r="N17">
        <v>9891</v>
      </c>
      <c r="R17">
        <v>3105073</v>
      </c>
      <c r="T17">
        <v>6683613</v>
      </c>
    </row>
    <row r="18" spans="1:21" x14ac:dyDescent="0.3">
      <c r="A18" s="1">
        <v>45230</v>
      </c>
      <c r="B18">
        <v>65</v>
      </c>
      <c r="C18">
        <v>1756.5373321330301</v>
      </c>
      <c r="D18">
        <v>1355.5711018105001</v>
      </c>
      <c r="E18">
        <v>41</v>
      </c>
      <c r="F18">
        <v>41</v>
      </c>
      <c r="K18">
        <v>0.42355706421998801</v>
      </c>
      <c r="L18">
        <v>1.45220596177395</v>
      </c>
      <c r="M18">
        <v>0.25011158278656997</v>
      </c>
      <c r="N18">
        <v>2253</v>
      </c>
      <c r="R18">
        <v>2416413</v>
      </c>
      <c r="T18">
        <v>681376</v>
      </c>
      <c r="U18">
        <v>67625</v>
      </c>
    </row>
    <row r="19" spans="1:21" x14ac:dyDescent="0.3">
      <c r="A19" s="1">
        <v>45231</v>
      </c>
      <c r="B19">
        <v>57</v>
      </c>
      <c r="C19">
        <v>1788.0297465407</v>
      </c>
      <c r="D19">
        <v>1620.74845765839</v>
      </c>
      <c r="E19">
        <v>36</v>
      </c>
      <c r="F19">
        <v>36</v>
      </c>
      <c r="K19">
        <v>0.42707784082378097</v>
      </c>
      <c r="L19">
        <v>1.58561213935221</v>
      </c>
      <c r="M19">
        <v>0.25011158278656997</v>
      </c>
      <c r="N19">
        <v>2514</v>
      </c>
      <c r="R19">
        <v>1880490</v>
      </c>
      <c r="T19">
        <v>1974256</v>
      </c>
    </row>
    <row r="20" spans="1:21" x14ac:dyDescent="0.3">
      <c r="A20" s="1">
        <v>45232</v>
      </c>
      <c r="B20">
        <v>79</v>
      </c>
      <c r="C20">
        <v>1805.00692789801</v>
      </c>
      <c r="D20">
        <v>2851.25809973471</v>
      </c>
      <c r="E20">
        <v>36</v>
      </c>
      <c r="F20">
        <v>36</v>
      </c>
      <c r="K20">
        <v>0.88892355186079197</v>
      </c>
      <c r="L20">
        <v>1.6418111283607899</v>
      </c>
      <c r="M20">
        <v>0.26098599942946399</v>
      </c>
      <c r="N20">
        <v>4327</v>
      </c>
      <c r="R20">
        <v>1548392</v>
      </c>
      <c r="T20">
        <v>2633945</v>
      </c>
    </row>
    <row r="21" spans="1:21" x14ac:dyDescent="0.3">
      <c r="A21" s="1">
        <v>45233</v>
      </c>
      <c r="B21">
        <v>113</v>
      </c>
      <c r="C21">
        <v>1919.3680519739601</v>
      </c>
      <c r="D21">
        <v>3605.72294325536</v>
      </c>
      <c r="E21">
        <v>58</v>
      </c>
      <c r="F21">
        <v>58</v>
      </c>
      <c r="K21">
        <v>0.73529538816463802</v>
      </c>
      <c r="L21">
        <v>1.64032342731036</v>
      </c>
      <c r="M21">
        <v>0.25011158278656997</v>
      </c>
      <c r="N21">
        <v>5344</v>
      </c>
      <c r="R21">
        <v>2813230</v>
      </c>
      <c r="T21">
        <v>3331607</v>
      </c>
    </row>
    <row r="22" spans="1:21" x14ac:dyDescent="0.3">
      <c r="A22" s="1">
        <v>45234</v>
      </c>
      <c r="B22">
        <v>89</v>
      </c>
      <c r="C22">
        <v>1838.5181288112699</v>
      </c>
      <c r="D22">
        <v>2819.3206627599502</v>
      </c>
      <c r="E22">
        <v>50</v>
      </c>
      <c r="F22">
        <v>50</v>
      </c>
      <c r="K22">
        <v>0.51199077921239999</v>
      </c>
      <c r="L22">
        <v>1.7921135361395699</v>
      </c>
      <c r="M22">
        <v>0.25011158278656997</v>
      </c>
      <c r="N22">
        <v>4307</v>
      </c>
      <c r="R22">
        <v>2419843</v>
      </c>
      <c r="T22">
        <v>2302641</v>
      </c>
    </row>
    <row r="23" spans="1:21" x14ac:dyDescent="0.3">
      <c r="A23" s="1">
        <v>45235</v>
      </c>
      <c r="B23">
        <v>4</v>
      </c>
      <c r="C23">
        <v>1636.95213550925</v>
      </c>
      <c r="D23">
        <v>302.10189430603998</v>
      </c>
      <c r="K23">
        <v>0.36259086568085003</v>
      </c>
      <c r="L23">
        <v>0.78269557830644598</v>
      </c>
      <c r="M23">
        <v>0.24803770009784501</v>
      </c>
      <c r="N23">
        <v>727</v>
      </c>
      <c r="T23">
        <v>1276784</v>
      </c>
    </row>
    <row r="24" spans="1:21" x14ac:dyDescent="0.3">
      <c r="A24" s="1">
        <v>45236</v>
      </c>
      <c r="B24">
        <v>67</v>
      </c>
      <c r="C24">
        <v>1775.1477664384799</v>
      </c>
      <c r="D24">
        <v>2287.4182912440401</v>
      </c>
      <c r="E24">
        <v>34</v>
      </c>
      <c r="F24">
        <v>34</v>
      </c>
      <c r="K24">
        <v>0.73412834468335597</v>
      </c>
      <c r="L24">
        <v>1.45243339024545</v>
      </c>
      <c r="M24">
        <v>0.25011158278656997</v>
      </c>
      <c r="N24">
        <v>3507</v>
      </c>
      <c r="R24">
        <v>1659313</v>
      </c>
      <c r="T24">
        <v>1979858</v>
      </c>
    </row>
    <row r="25" spans="1:21" x14ac:dyDescent="0.3">
      <c r="A25" s="1">
        <v>45237</v>
      </c>
      <c r="B25">
        <v>78</v>
      </c>
      <c r="C25">
        <v>1863.06453281535</v>
      </c>
      <c r="D25">
        <v>3682.83151960131</v>
      </c>
      <c r="E25">
        <v>20</v>
      </c>
      <c r="F25">
        <v>20</v>
      </c>
      <c r="K25">
        <v>0.639209376524141</v>
      </c>
      <c r="L25">
        <v>1.5445505466663201</v>
      </c>
      <c r="M25">
        <v>0.25443038041266303</v>
      </c>
      <c r="N25">
        <v>5620</v>
      </c>
      <c r="R25">
        <v>633370</v>
      </c>
      <c r="T25">
        <v>4653854</v>
      </c>
    </row>
    <row r="26" spans="1:21" x14ac:dyDescent="0.3">
      <c r="A26" s="1">
        <v>45238</v>
      </c>
      <c r="B26">
        <v>51</v>
      </c>
      <c r="C26">
        <v>1749.9176114033501</v>
      </c>
      <c r="D26">
        <v>663.90667360254997</v>
      </c>
      <c r="E26">
        <v>37</v>
      </c>
      <c r="F26">
        <v>37</v>
      </c>
      <c r="K26">
        <v>0.47327047255457799</v>
      </c>
      <c r="L26">
        <v>1.22502307511441</v>
      </c>
      <c r="M26">
        <v>0.28273483271525301</v>
      </c>
      <c r="N26">
        <v>1193</v>
      </c>
      <c r="R26">
        <v>2369658</v>
      </c>
      <c r="T26">
        <v>767555</v>
      </c>
    </row>
    <row r="27" spans="1:21" x14ac:dyDescent="0.3">
      <c r="A27" s="1">
        <v>45239</v>
      </c>
      <c r="B27">
        <v>72</v>
      </c>
      <c r="C27">
        <v>1771.4330464438799</v>
      </c>
      <c r="D27">
        <v>2333.7470924742602</v>
      </c>
      <c r="E27">
        <v>42</v>
      </c>
      <c r="F27">
        <v>42</v>
      </c>
      <c r="K27">
        <v>0.51410757926010897</v>
      </c>
      <c r="L27">
        <v>1.64214129725147</v>
      </c>
      <c r="M27">
        <v>0.25011158278656997</v>
      </c>
      <c r="N27">
        <v>3534</v>
      </c>
      <c r="R27">
        <v>1927604</v>
      </c>
      <c r="T27">
        <v>1626246</v>
      </c>
    </row>
    <row r="28" spans="1:21" x14ac:dyDescent="0.3">
      <c r="A28" s="1">
        <v>45240</v>
      </c>
      <c r="B28">
        <v>79</v>
      </c>
      <c r="C28">
        <v>1795.1854466761299</v>
      </c>
      <c r="D28">
        <v>3167.3007635244498</v>
      </c>
      <c r="E28">
        <v>39</v>
      </c>
      <c r="F28">
        <v>38</v>
      </c>
      <c r="K28">
        <v>0.69341707213234305</v>
      </c>
      <c r="L28">
        <v>2.3604281827650802</v>
      </c>
      <c r="M28">
        <v>0.25016263208102302</v>
      </c>
      <c r="N28">
        <v>4474</v>
      </c>
      <c r="R28">
        <v>1405918</v>
      </c>
      <c r="T28">
        <v>2610237</v>
      </c>
    </row>
    <row r="29" spans="1:21" x14ac:dyDescent="0.3">
      <c r="A29" s="1">
        <v>45241</v>
      </c>
      <c r="B29">
        <v>68</v>
      </c>
      <c r="C29">
        <v>1766.38928136251</v>
      </c>
      <c r="D29">
        <v>3725.1171196693599</v>
      </c>
      <c r="E29">
        <v>20</v>
      </c>
      <c r="F29">
        <v>19</v>
      </c>
      <c r="K29">
        <v>0.43056333276500802</v>
      </c>
      <c r="L29">
        <v>1.93699548365429</v>
      </c>
      <c r="M29">
        <v>0.25011158278656997</v>
      </c>
      <c r="N29">
        <v>5533</v>
      </c>
      <c r="T29">
        <v>3597828</v>
      </c>
    </row>
    <row r="30" spans="1:21" x14ac:dyDescent="0.3">
      <c r="A30" s="1">
        <v>45242</v>
      </c>
      <c r="B30">
        <v>115</v>
      </c>
      <c r="C30">
        <v>1820.2447103351001</v>
      </c>
      <c r="D30">
        <v>5682.2523844955103</v>
      </c>
      <c r="E30">
        <v>33</v>
      </c>
      <c r="F30">
        <v>33</v>
      </c>
      <c r="K30">
        <v>0.42630059777742801</v>
      </c>
      <c r="L30">
        <v>1.49815256914996</v>
      </c>
      <c r="M30">
        <v>0.25011158278656997</v>
      </c>
      <c r="N30">
        <v>8579</v>
      </c>
      <c r="T30">
        <v>4232925</v>
      </c>
      <c r="U30">
        <v>144374</v>
      </c>
    </row>
    <row r="31" spans="1:21" x14ac:dyDescent="0.3">
      <c r="A31" s="1">
        <v>45243</v>
      </c>
      <c r="B31">
        <v>79</v>
      </c>
      <c r="C31">
        <v>1753.58350459025</v>
      </c>
      <c r="D31">
        <v>3440.5237698937599</v>
      </c>
      <c r="E31">
        <v>4</v>
      </c>
      <c r="F31">
        <v>4</v>
      </c>
      <c r="K31">
        <v>0.52234304270389398</v>
      </c>
      <c r="L31">
        <v>1.7579831250989999</v>
      </c>
      <c r="M31">
        <v>0.25011158278656997</v>
      </c>
      <c r="N31">
        <v>5596</v>
      </c>
      <c r="T31">
        <v>3368197</v>
      </c>
    </row>
    <row r="32" spans="1:21" x14ac:dyDescent="0.3">
      <c r="A32" s="1">
        <v>45244</v>
      </c>
      <c r="B32">
        <v>294</v>
      </c>
      <c r="C32">
        <v>2178.6660208445001</v>
      </c>
      <c r="D32">
        <v>13754.6933463765</v>
      </c>
      <c r="E32">
        <v>52</v>
      </c>
      <c r="F32">
        <v>49</v>
      </c>
      <c r="K32">
        <v>0.61220857785369798</v>
      </c>
      <c r="L32">
        <v>2.1736314389131102</v>
      </c>
      <c r="M32">
        <v>0.248601872291149</v>
      </c>
      <c r="N32">
        <v>20385</v>
      </c>
      <c r="T32">
        <v>10559792</v>
      </c>
      <c r="U32">
        <v>170044</v>
      </c>
    </row>
    <row r="33" spans="1:21" x14ac:dyDescent="0.3">
      <c r="A33" s="1">
        <v>45245</v>
      </c>
      <c r="B33">
        <v>161</v>
      </c>
      <c r="C33">
        <v>1802.1271918836201</v>
      </c>
      <c r="D33">
        <v>7008.21791803</v>
      </c>
      <c r="E33">
        <v>18</v>
      </c>
      <c r="F33">
        <v>18</v>
      </c>
      <c r="K33">
        <v>0.48715704549835898</v>
      </c>
      <c r="L33">
        <v>1.64207020065626</v>
      </c>
      <c r="M33">
        <v>0.25011158278656997</v>
      </c>
      <c r="N33">
        <v>10620</v>
      </c>
      <c r="T33">
        <v>4238390</v>
      </c>
    </row>
    <row r="34" spans="1:21" x14ac:dyDescent="0.3">
      <c r="A34" s="1">
        <v>45246</v>
      </c>
      <c r="B34">
        <v>292</v>
      </c>
      <c r="C34">
        <v>2082.5005150781699</v>
      </c>
      <c r="D34">
        <v>12014.483801607201</v>
      </c>
      <c r="E34">
        <v>25</v>
      </c>
      <c r="F34">
        <v>25</v>
      </c>
      <c r="K34">
        <v>0.60119540329805798</v>
      </c>
      <c r="L34">
        <v>1.72208075847942</v>
      </c>
      <c r="M34">
        <v>0.25011158278656997</v>
      </c>
      <c r="N34">
        <v>18524</v>
      </c>
      <c r="T34">
        <v>9036325</v>
      </c>
      <c r="U34">
        <v>100403</v>
      </c>
    </row>
    <row r="35" spans="1:21" x14ac:dyDescent="0.3">
      <c r="A35" s="1">
        <v>45247</v>
      </c>
      <c r="B35">
        <v>333</v>
      </c>
      <c r="C35">
        <v>2110.6426897695901</v>
      </c>
      <c r="D35">
        <v>13825.195740752801</v>
      </c>
      <c r="E35">
        <v>33</v>
      </c>
      <c r="F35">
        <v>33</v>
      </c>
      <c r="K35">
        <v>0.55708397716979496</v>
      </c>
      <c r="L35">
        <v>1.8458457255338201</v>
      </c>
      <c r="M35">
        <v>0.25011158278656997</v>
      </c>
      <c r="N35">
        <v>21001</v>
      </c>
      <c r="T35">
        <v>9770852</v>
      </c>
    </row>
    <row r="36" spans="1:21" x14ac:dyDescent="0.3">
      <c r="A36" s="1">
        <v>45248</v>
      </c>
      <c r="B36">
        <v>266</v>
      </c>
      <c r="C36">
        <v>2324.7142734959398</v>
      </c>
      <c r="D36">
        <v>9899.4741312037095</v>
      </c>
      <c r="E36">
        <v>95</v>
      </c>
      <c r="F36">
        <v>94</v>
      </c>
      <c r="K36">
        <v>0.59668049081165997</v>
      </c>
      <c r="L36">
        <v>1.96598213361036</v>
      </c>
      <c r="M36">
        <v>0.25462862994890001</v>
      </c>
      <c r="N36">
        <v>14913</v>
      </c>
      <c r="R36">
        <v>3517427</v>
      </c>
      <c r="T36">
        <v>9577928</v>
      </c>
      <c r="U36">
        <v>116853</v>
      </c>
    </row>
    <row r="37" spans="1:21" x14ac:dyDescent="0.3">
      <c r="A37" s="1">
        <v>45249</v>
      </c>
      <c r="B37">
        <v>71</v>
      </c>
      <c r="C37">
        <v>1819.5288426811201</v>
      </c>
      <c r="D37">
        <v>4295.0647502731099</v>
      </c>
      <c r="E37">
        <v>25</v>
      </c>
      <c r="F37">
        <v>25</v>
      </c>
      <c r="K37">
        <v>0.52854175344216703</v>
      </c>
      <c r="L37">
        <v>2.2741225477861899</v>
      </c>
      <c r="M37">
        <v>0.271860416072358</v>
      </c>
      <c r="N37">
        <v>6312</v>
      </c>
      <c r="T37">
        <v>4550718</v>
      </c>
    </row>
    <row r="38" spans="1:21" x14ac:dyDescent="0.3">
      <c r="A38" s="1">
        <v>45250</v>
      </c>
      <c r="B38">
        <v>73</v>
      </c>
      <c r="C38">
        <v>1838.2518493740899</v>
      </c>
      <c r="D38">
        <v>2774.4249048757501</v>
      </c>
      <c r="E38">
        <v>38</v>
      </c>
      <c r="F38">
        <v>38</v>
      </c>
      <c r="K38">
        <v>0.70195723767148699</v>
      </c>
      <c r="L38">
        <v>1.5352751682783199</v>
      </c>
      <c r="M38">
        <v>0.31606259455104302</v>
      </c>
      <c r="N38">
        <v>4031</v>
      </c>
      <c r="R38">
        <v>1560283</v>
      </c>
      <c r="T38">
        <v>3217365</v>
      </c>
    </row>
    <row r="39" spans="1:21" x14ac:dyDescent="0.3">
      <c r="A39" s="1">
        <v>45251</v>
      </c>
      <c r="B39">
        <v>93</v>
      </c>
      <c r="C39">
        <v>1855.56715304112</v>
      </c>
      <c r="D39">
        <v>3595.1591003378498</v>
      </c>
      <c r="E39">
        <v>47</v>
      </c>
      <c r="F39">
        <v>47</v>
      </c>
      <c r="K39">
        <v>0.84839345149065104</v>
      </c>
      <c r="L39">
        <v>1.4997017992817401</v>
      </c>
      <c r="M39">
        <v>0.25011158278656997</v>
      </c>
      <c r="N39">
        <v>5333</v>
      </c>
      <c r="R39">
        <v>1700788</v>
      </c>
      <c r="T39">
        <v>3377557</v>
      </c>
    </row>
    <row r="40" spans="1:21" x14ac:dyDescent="0.3">
      <c r="A40" s="1">
        <v>45252</v>
      </c>
      <c r="B40">
        <v>168</v>
      </c>
      <c r="C40">
        <v>1921.42458896734</v>
      </c>
      <c r="D40">
        <v>5120.33484819977</v>
      </c>
      <c r="E40">
        <v>74</v>
      </c>
      <c r="F40">
        <v>74</v>
      </c>
      <c r="K40">
        <v>0.45579734775337799</v>
      </c>
      <c r="L40">
        <v>1.97958299143705</v>
      </c>
      <c r="M40">
        <v>0.27382008800005803</v>
      </c>
      <c r="N40">
        <v>7647</v>
      </c>
      <c r="R40">
        <v>3575274</v>
      </c>
      <c r="T40">
        <v>2553299</v>
      </c>
    </row>
    <row r="41" spans="1:21" x14ac:dyDescent="0.3">
      <c r="A41" s="1">
        <v>45253</v>
      </c>
      <c r="B41">
        <v>76</v>
      </c>
      <c r="C41">
        <v>1787.5341649460399</v>
      </c>
      <c r="D41">
        <v>3272.3381547168201</v>
      </c>
      <c r="E41">
        <v>33</v>
      </c>
      <c r="F41">
        <v>33</v>
      </c>
      <c r="K41">
        <v>0.52206467724710703</v>
      </c>
      <c r="L41">
        <v>2.0137315198183199</v>
      </c>
      <c r="M41">
        <v>0.24476135482438299</v>
      </c>
      <c r="N41">
        <v>4764</v>
      </c>
      <c r="R41">
        <v>1211879</v>
      </c>
      <c r="T41">
        <v>2680604</v>
      </c>
    </row>
    <row r="42" spans="1:21" x14ac:dyDescent="0.3">
      <c r="A42" s="1">
        <v>45254</v>
      </c>
      <c r="B42">
        <v>63</v>
      </c>
      <c r="C42">
        <v>1783.5811329989499</v>
      </c>
      <c r="D42">
        <v>2676.5152983061998</v>
      </c>
      <c r="E42">
        <v>17</v>
      </c>
      <c r="F42">
        <v>17</v>
      </c>
      <c r="K42">
        <v>0.56807681952800104</v>
      </c>
      <c r="L42">
        <v>1.4391928640415099</v>
      </c>
      <c r="M42">
        <v>0.24254688348422501</v>
      </c>
      <c r="N42">
        <v>4143</v>
      </c>
      <c r="R42">
        <v>706598</v>
      </c>
      <c r="T42">
        <v>3150237</v>
      </c>
    </row>
    <row r="43" spans="1:21" x14ac:dyDescent="0.3">
      <c r="A43" s="1">
        <v>45255</v>
      </c>
      <c r="B43">
        <v>33</v>
      </c>
      <c r="C43">
        <v>1679.35999559984</v>
      </c>
      <c r="D43">
        <v>1696.2003520153801</v>
      </c>
      <c r="E43">
        <v>6</v>
      </c>
      <c r="F43">
        <v>6</v>
      </c>
      <c r="K43">
        <v>0.448077510528267</v>
      </c>
      <c r="L43">
        <v>1.8416957777362499</v>
      </c>
      <c r="M43">
        <v>0.25011158278656997</v>
      </c>
      <c r="N43">
        <v>2866</v>
      </c>
      <c r="T43">
        <v>2037235</v>
      </c>
    </row>
    <row r="44" spans="1:21" x14ac:dyDescent="0.3">
      <c r="A44" s="1">
        <v>45256</v>
      </c>
      <c r="B44">
        <v>15</v>
      </c>
      <c r="C44">
        <v>1605.42287745311</v>
      </c>
      <c r="D44">
        <v>740.38747443406805</v>
      </c>
      <c r="E44">
        <v>2</v>
      </c>
      <c r="F44">
        <v>1</v>
      </c>
      <c r="K44">
        <v>0.44977150385675702</v>
      </c>
      <c r="L44">
        <v>2.0416113550533099</v>
      </c>
      <c r="M44">
        <v>0.26098599942946399</v>
      </c>
      <c r="N44">
        <v>1239</v>
      </c>
      <c r="T44">
        <v>711406</v>
      </c>
    </row>
    <row r="45" spans="1:21" x14ac:dyDescent="0.3">
      <c r="A45" s="1">
        <v>45257</v>
      </c>
      <c r="B45">
        <v>8</v>
      </c>
      <c r="C45">
        <v>1580.35448129618</v>
      </c>
      <c r="D45">
        <v>488.19693008367801</v>
      </c>
      <c r="E45">
        <v>1</v>
      </c>
      <c r="F45">
        <v>1</v>
      </c>
      <c r="K45">
        <v>0.33791060523709698</v>
      </c>
      <c r="L45">
        <v>1.8401579543041799</v>
      </c>
      <c r="M45">
        <v>0.248029000478139</v>
      </c>
      <c r="N45">
        <v>831</v>
      </c>
      <c r="T45">
        <v>261884</v>
      </c>
    </row>
    <row r="46" spans="1:21" x14ac:dyDescent="0.3">
      <c r="A46" s="1">
        <v>45258</v>
      </c>
      <c r="B46">
        <v>96</v>
      </c>
      <c r="C46">
        <v>1885.4399366120999</v>
      </c>
      <c r="D46">
        <v>2101.6052908162001</v>
      </c>
      <c r="E46">
        <v>65</v>
      </c>
      <c r="F46">
        <v>65</v>
      </c>
      <c r="K46">
        <v>0.50927671103792305</v>
      </c>
      <c r="L46">
        <v>1.5474475288441401</v>
      </c>
      <c r="M46">
        <v>0.26098599942946399</v>
      </c>
      <c r="N46">
        <v>3442</v>
      </c>
      <c r="R46">
        <v>3572642</v>
      </c>
      <c r="T46">
        <v>1910844</v>
      </c>
    </row>
    <row r="47" spans="1:21" x14ac:dyDescent="0.3">
      <c r="A47" s="1">
        <v>45259</v>
      </c>
      <c r="B47">
        <v>190</v>
      </c>
      <c r="C47">
        <v>2191.7752687504599</v>
      </c>
      <c r="D47">
        <v>4962.0134791575802</v>
      </c>
      <c r="E47">
        <v>124</v>
      </c>
      <c r="F47">
        <v>120</v>
      </c>
      <c r="K47">
        <v>0.70063313102145497</v>
      </c>
      <c r="L47">
        <v>2.0771025881473801</v>
      </c>
      <c r="M47">
        <v>0.25482029627166097</v>
      </c>
      <c r="N47">
        <v>7414</v>
      </c>
      <c r="R47">
        <v>6154921</v>
      </c>
      <c r="T47">
        <v>4577586</v>
      </c>
    </row>
    <row r="48" spans="1:21" x14ac:dyDescent="0.3">
      <c r="A48" s="1">
        <v>45260</v>
      </c>
      <c r="B48">
        <v>86</v>
      </c>
      <c r="C48">
        <v>1862.42731242529</v>
      </c>
      <c r="D48">
        <v>4337.2831961997199</v>
      </c>
      <c r="E48">
        <v>45</v>
      </c>
      <c r="F48">
        <v>45</v>
      </c>
      <c r="K48">
        <v>0.63031628846586396</v>
      </c>
      <c r="L48">
        <v>1.6087961924424301</v>
      </c>
      <c r="M48">
        <v>0.25979491408639999</v>
      </c>
      <c r="N48">
        <v>6382</v>
      </c>
      <c r="R48">
        <v>1033287</v>
      </c>
      <c r="T48">
        <v>4214624</v>
      </c>
    </row>
    <row r="49" spans="1:20" x14ac:dyDescent="0.3">
      <c r="A49" s="1">
        <v>45261</v>
      </c>
      <c r="B49">
        <v>56</v>
      </c>
      <c r="C49">
        <v>1757.8330994806299</v>
      </c>
      <c r="D49">
        <v>1757.8306193102001</v>
      </c>
      <c r="E49">
        <v>29</v>
      </c>
      <c r="F49">
        <v>27</v>
      </c>
      <c r="K49">
        <v>0.57465788678127405</v>
      </c>
      <c r="L49">
        <v>1.87550394917645</v>
      </c>
      <c r="M49">
        <v>0.25011158278656997</v>
      </c>
      <c r="N49">
        <v>2793</v>
      </c>
      <c r="R49">
        <v>1378641</v>
      </c>
      <c r="T49">
        <v>1955367</v>
      </c>
    </row>
    <row r="50" spans="1:20" x14ac:dyDescent="0.3">
      <c r="A50" s="1">
        <v>45262</v>
      </c>
      <c r="B50">
        <v>74</v>
      </c>
      <c r="C50">
        <v>1856.0339507665799</v>
      </c>
      <c r="D50">
        <v>2499.5314707419898</v>
      </c>
      <c r="E50">
        <v>39</v>
      </c>
      <c r="F50">
        <v>38</v>
      </c>
      <c r="K50">
        <v>0.63797425914460204</v>
      </c>
      <c r="L50">
        <v>2.4707237600691001</v>
      </c>
      <c r="M50">
        <v>0.26098599942946399</v>
      </c>
      <c r="N50">
        <v>3676</v>
      </c>
      <c r="R50">
        <v>1655528</v>
      </c>
      <c r="T50">
        <v>3434345</v>
      </c>
    </row>
    <row r="51" spans="1:20" x14ac:dyDescent="0.3">
      <c r="A51" s="1">
        <v>45263</v>
      </c>
      <c r="C51">
        <v>1571.8793270543899</v>
      </c>
      <c r="D51">
        <v>80.253194824560197</v>
      </c>
      <c r="K51">
        <v>0.34344268085687502</v>
      </c>
      <c r="L51">
        <v>0.49115908501860001</v>
      </c>
      <c r="M51">
        <v>0.25753701668435203</v>
      </c>
      <c r="N51">
        <v>250</v>
      </c>
      <c r="T51">
        <v>109910</v>
      </c>
    </row>
    <row r="52" spans="1:20" x14ac:dyDescent="0.3">
      <c r="A52" s="1">
        <v>45264</v>
      </c>
      <c r="B52">
        <v>83</v>
      </c>
      <c r="C52">
        <v>1807.2221864359001</v>
      </c>
      <c r="D52">
        <v>3392.7016000272602</v>
      </c>
      <c r="E52">
        <v>40</v>
      </c>
      <c r="F52">
        <v>40</v>
      </c>
      <c r="K52">
        <v>0.57596677282837505</v>
      </c>
      <c r="L52">
        <v>1.8426477559452401</v>
      </c>
      <c r="M52">
        <v>0.25011158278656997</v>
      </c>
      <c r="N52">
        <v>5516</v>
      </c>
      <c r="R52">
        <v>1551641</v>
      </c>
      <c r="T52">
        <v>2664973</v>
      </c>
    </row>
    <row r="53" spans="1:20" x14ac:dyDescent="0.3">
      <c r="A53" s="1">
        <v>45265</v>
      </c>
      <c r="B53">
        <v>79</v>
      </c>
      <c r="C53">
        <v>1827.66225254289</v>
      </c>
      <c r="D53">
        <v>2736.5378628943199</v>
      </c>
      <c r="E53">
        <v>43</v>
      </c>
      <c r="F53">
        <v>43</v>
      </c>
      <c r="K53">
        <v>0.691818430149166</v>
      </c>
      <c r="L53">
        <v>1.5117498252597701</v>
      </c>
      <c r="M53">
        <v>0.25138109453218499</v>
      </c>
      <c r="N53">
        <v>4341</v>
      </c>
      <c r="R53">
        <v>1825266</v>
      </c>
      <c r="T53">
        <v>2744013</v>
      </c>
    </row>
    <row r="54" spans="1:20" x14ac:dyDescent="0.3">
      <c r="A54" s="1">
        <v>45266</v>
      </c>
      <c r="B54">
        <v>98</v>
      </c>
      <c r="C54">
        <v>1896.84503636316</v>
      </c>
      <c r="D54">
        <v>2289.8070264503399</v>
      </c>
      <c r="E54">
        <v>57</v>
      </c>
      <c r="F54">
        <v>57</v>
      </c>
      <c r="K54">
        <v>0.60684702547577396</v>
      </c>
      <c r="L54">
        <v>1.60268392351621</v>
      </c>
      <c r="M54">
        <v>0.298767638875784</v>
      </c>
      <c r="N54">
        <v>3646</v>
      </c>
      <c r="R54">
        <v>3308771</v>
      </c>
      <c r="T54">
        <v>2397629</v>
      </c>
    </row>
    <row r="55" spans="1:20" x14ac:dyDescent="0.3">
      <c r="A55" s="1">
        <v>45267</v>
      </c>
      <c r="B55">
        <v>91</v>
      </c>
      <c r="C55">
        <v>1873.76079387392</v>
      </c>
      <c r="D55">
        <v>2614.1612586018</v>
      </c>
      <c r="E55">
        <v>68</v>
      </c>
      <c r="F55">
        <v>68</v>
      </c>
      <c r="K55">
        <v>0.72858302773942796</v>
      </c>
      <c r="L55">
        <v>1.76276501108332</v>
      </c>
      <c r="M55">
        <v>0.25011158278656997</v>
      </c>
      <c r="N55">
        <v>3940</v>
      </c>
      <c r="R55">
        <v>3093362</v>
      </c>
      <c r="T55">
        <v>2213273</v>
      </c>
    </row>
    <row r="56" spans="1:20" x14ac:dyDescent="0.3">
      <c r="A56" s="1">
        <v>45268</v>
      </c>
      <c r="B56">
        <v>72</v>
      </c>
      <c r="C56">
        <v>1790.7264336481201</v>
      </c>
      <c r="D56">
        <v>2261.1540068661802</v>
      </c>
      <c r="E56">
        <v>25</v>
      </c>
      <c r="F56">
        <v>25</v>
      </c>
      <c r="K56">
        <v>0.48445155528862399</v>
      </c>
      <c r="L56">
        <v>1.57537557019087</v>
      </c>
      <c r="M56">
        <v>0.24983953406802401</v>
      </c>
      <c r="N56">
        <v>3619</v>
      </c>
      <c r="R56">
        <v>1322084</v>
      </c>
      <c r="T56">
        <v>2619959</v>
      </c>
    </row>
    <row r="57" spans="1:20" x14ac:dyDescent="0.3">
      <c r="A57" s="1">
        <v>45269</v>
      </c>
      <c r="B57">
        <v>17</v>
      </c>
      <c r="C57">
        <v>1627.56824170236</v>
      </c>
      <c r="D57">
        <v>1074.4970632966099</v>
      </c>
      <c r="E57">
        <v>5</v>
      </c>
      <c r="F57">
        <v>5</v>
      </c>
      <c r="K57">
        <v>0.50907627617181495</v>
      </c>
      <c r="L57">
        <v>1.3708006014904199</v>
      </c>
      <c r="M57">
        <v>0.25011158278656997</v>
      </c>
      <c r="N57">
        <v>1685</v>
      </c>
      <c r="T57">
        <v>1108513</v>
      </c>
    </row>
    <row r="58" spans="1:20" x14ac:dyDescent="0.3">
      <c r="A58" s="1">
        <v>45270</v>
      </c>
      <c r="B58">
        <v>18</v>
      </c>
      <c r="C58">
        <v>1565.74999999999</v>
      </c>
      <c r="D58">
        <v>740.40289636453304</v>
      </c>
      <c r="K58">
        <v>0.403464281685328</v>
      </c>
      <c r="L58">
        <v>1.4455109797624</v>
      </c>
      <c r="M58">
        <v>0.251883508606706</v>
      </c>
      <c r="N58">
        <v>1424</v>
      </c>
    </row>
    <row r="59" spans="1:20" x14ac:dyDescent="0.3">
      <c r="A59" s="1">
        <v>45271</v>
      </c>
      <c r="B59">
        <v>59</v>
      </c>
      <c r="C59">
        <v>1718.37578100312</v>
      </c>
      <c r="D59">
        <v>1478.75201921895</v>
      </c>
      <c r="E59">
        <v>34</v>
      </c>
      <c r="F59">
        <v>34</v>
      </c>
      <c r="K59">
        <v>0.43727070251834499</v>
      </c>
      <c r="L59">
        <v>1.7308016150449901</v>
      </c>
      <c r="M59">
        <v>0.26808414903605798</v>
      </c>
      <c r="N59">
        <v>2221</v>
      </c>
      <c r="R59">
        <v>1777849</v>
      </c>
      <c r="T59">
        <v>832829</v>
      </c>
    </row>
    <row r="60" spans="1:20" x14ac:dyDescent="0.3">
      <c r="A60" s="1">
        <v>45272</v>
      </c>
      <c r="B60">
        <v>61</v>
      </c>
      <c r="C60">
        <v>1769.5438569769599</v>
      </c>
      <c r="D60">
        <v>2717.4814251345501</v>
      </c>
      <c r="E60">
        <v>26</v>
      </c>
      <c r="F60">
        <v>26</v>
      </c>
      <c r="K60">
        <v>0.47940736852920801</v>
      </c>
      <c r="L60">
        <v>1.8333316917176801</v>
      </c>
      <c r="M60">
        <v>0.267002162769713</v>
      </c>
      <c r="N60">
        <v>4102</v>
      </c>
      <c r="R60">
        <v>729209</v>
      </c>
      <c r="T60">
        <v>2874336</v>
      </c>
    </row>
    <row r="61" spans="1:20" x14ac:dyDescent="0.3">
      <c r="A61" s="1">
        <v>45273</v>
      </c>
      <c r="B61">
        <v>108</v>
      </c>
      <c r="C61">
        <v>1987.63723458507</v>
      </c>
      <c r="D61">
        <v>3321.9847720422499</v>
      </c>
      <c r="E61">
        <v>72</v>
      </c>
      <c r="F61">
        <v>72</v>
      </c>
      <c r="K61">
        <v>0.704094651397836</v>
      </c>
      <c r="L61">
        <v>1.82098574374849</v>
      </c>
      <c r="M61">
        <v>0.25203737954067301</v>
      </c>
      <c r="N61">
        <v>5054</v>
      </c>
      <c r="R61">
        <v>3485283</v>
      </c>
      <c r="T61">
        <v>3836879</v>
      </c>
    </row>
    <row r="62" spans="1:20" x14ac:dyDescent="0.3">
      <c r="A62" s="1">
        <v>45274</v>
      </c>
      <c r="B62">
        <v>71</v>
      </c>
      <c r="C62">
        <v>1789.3489130261</v>
      </c>
      <c r="D62">
        <v>3435.0488944379999</v>
      </c>
      <c r="E62">
        <v>41</v>
      </c>
      <c r="F62">
        <v>40</v>
      </c>
      <c r="K62">
        <v>0.69332899967487505</v>
      </c>
      <c r="L62">
        <v>2.08650584427888</v>
      </c>
      <c r="M62">
        <v>0.25011158278656997</v>
      </c>
      <c r="N62">
        <v>4863</v>
      </c>
      <c r="R62">
        <v>1087226</v>
      </c>
      <c r="T62">
        <v>2845310</v>
      </c>
    </row>
    <row r="63" spans="1:20" x14ac:dyDescent="0.3">
      <c r="A63" s="1">
        <v>45275</v>
      </c>
      <c r="B63">
        <v>133</v>
      </c>
      <c r="C63">
        <v>2014.6985452387601</v>
      </c>
      <c r="D63">
        <v>3978.28727735045</v>
      </c>
      <c r="E63">
        <v>64</v>
      </c>
      <c r="F63">
        <v>64</v>
      </c>
      <c r="K63">
        <v>0.63670051684892204</v>
      </c>
      <c r="L63">
        <v>1.53579724605118</v>
      </c>
      <c r="M63">
        <v>0.27245618306078301</v>
      </c>
      <c r="N63">
        <v>6199</v>
      </c>
      <c r="R63">
        <v>3142920</v>
      </c>
      <c r="T63">
        <v>4688376</v>
      </c>
    </row>
    <row r="64" spans="1:20" x14ac:dyDescent="0.3">
      <c r="A64" s="1">
        <v>45276</v>
      </c>
      <c r="B64">
        <v>67</v>
      </c>
      <c r="C64">
        <v>1790.4342239525399</v>
      </c>
      <c r="D64">
        <v>2089.5389737198898</v>
      </c>
      <c r="E64">
        <v>38</v>
      </c>
      <c r="F64">
        <v>38</v>
      </c>
      <c r="K64">
        <v>0.456299430590491</v>
      </c>
      <c r="L64">
        <v>1.4696465597223101</v>
      </c>
      <c r="M64">
        <v>0.271860416072358</v>
      </c>
      <c r="N64">
        <v>3221</v>
      </c>
      <c r="R64">
        <v>1815784</v>
      </c>
      <c r="T64">
        <v>2086590</v>
      </c>
    </row>
    <row r="65" spans="1:20" x14ac:dyDescent="0.3">
      <c r="A65" s="1">
        <v>45277</v>
      </c>
      <c r="B65">
        <v>33</v>
      </c>
      <c r="C65">
        <v>1827.79593562789</v>
      </c>
      <c r="D65">
        <v>2380.97891314563</v>
      </c>
      <c r="E65">
        <v>22</v>
      </c>
      <c r="F65">
        <v>22</v>
      </c>
      <c r="K65">
        <v>0.44029978309706502</v>
      </c>
      <c r="L65">
        <v>1.5244131121078099</v>
      </c>
      <c r="M65">
        <v>0.25011158278656997</v>
      </c>
      <c r="N65">
        <v>3525</v>
      </c>
      <c r="T65">
        <v>4698961</v>
      </c>
    </row>
    <row r="66" spans="1:20" x14ac:dyDescent="0.3">
      <c r="A66" s="1">
        <v>45278</v>
      </c>
      <c r="C66">
        <v>1567.6352518460601</v>
      </c>
      <c r="D66">
        <v>158.54899465339901</v>
      </c>
      <c r="K66">
        <v>0.330672800453575</v>
      </c>
      <c r="L66">
        <v>0.75415514909051595</v>
      </c>
      <c r="M66">
        <v>0.242185501436808</v>
      </c>
      <c r="N66">
        <v>365</v>
      </c>
      <c r="T66">
        <v>33806</v>
      </c>
    </row>
    <row r="67" spans="1:20" x14ac:dyDescent="0.3">
      <c r="A67" s="1">
        <v>45279</v>
      </c>
      <c r="B67">
        <v>50</v>
      </c>
      <c r="C67">
        <v>1738.5186353874799</v>
      </c>
      <c r="D67">
        <v>409.653171368811</v>
      </c>
      <c r="E67">
        <v>40</v>
      </c>
      <c r="F67">
        <v>40</v>
      </c>
      <c r="K67">
        <v>0.51008865093679601</v>
      </c>
      <c r="L67">
        <v>1.5241974420798301</v>
      </c>
      <c r="M67">
        <v>0.258014630055452</v>
      </c>
      <c r="N67">
        <v>782</v>
      </c>
      <c r="R67">
        <v>2479405</v>
      </c>
      <c r="T67">
        <v>445751</v>
      </c>
    </row>
    <row r="68" spans="1:20" x14ac:dyDescent="0.3">
      <c r="A68" s="1">
        <v>45280</v>
      </c>
      <c r="B68">
        <v>68</v>
      </c>
      <c r="C68">
        <v>1792.67991174244</v>
      </c>
      <c r="D68">
        <v>2418.58930849136</v>
      </c>
      <c r="E68">
        <v>42</v>
      </c>
      <c r="F68">
        <v>42</v>
      </c>
      <c r="K68">
        <v>0.54166308944199004</v>
      </c>
      <c r="L68">
        <v>1.44611168879977</v>
      </c>
      <c r="M68">
        <v>0.25163538861000101</v>
      </c>
      <c r="N68">
        <v>3674</v>
      </c>
      <c r="R68">
        <v>1760120</v>
      </c>
      <c r="T68">
        <v>2186405</v>
      </c>
    </row>
    <row r="69" spans="1:20" x14ac:dyDescent="0.3">
      <c r="A69" s="1">
        <v>45281</v>
      </c>
      <c r="B69">
        <v>9</v>
      </c>
      <c r="C69">
        <v>1589.9014223582101</v>
      </c>
      <c r="D69">
        <v>365.88831323875797</v>
      </c>
      <c r="E69">
        <v>1</v>
      </c>
      <c r="F69">
        <v>1</v>
      </c>
      <c r="K69">
        <v>0.60211800884612399</v>
      </c>
      <c r="L69">
        <v>1.8309562719797701</v>
      </c>
      <c r="M69">
        <v>0.25011158278656997</v>
      </c>
      <c r="N69">
        <v>558</v>
      </c>
      <c r="T69">
        <v>433079</v>
      </c>
    </row>
    <row r="70" spans="1:20" x14ac:dyDescent="0.3">
      <c r="A70" s="1">
        <v>45282</v>
      </c>
      <c r="B70">
        <v>54</v>
      </c>
      <c r="C70">
        <v>1691.9162140744299</v>
      </c>
      <c r="D70">
        <v>887.48224126168498</v>
      </c>
      <c r="E70">
        <v>31</v>
      </c>
      <c r="F70">
        <v>31</v>
      </c>
      <c r="K70">
        <v>0.53227772985820299</v>
      </c>
      <c r="L70">
        <v>1.48185547764995</v>
      </c>
      <c r="M70">
        <v>0.24684821359003301</v>
      </c>
      <c r="N70">
        <v>1502</v>
      </c>
      <c r="R70">
        <v>1931492</v>
      </c>
      <c r="T70">
        <v>196206</v>
      </c>
    </row>
    <row r="71" spans="1:20" x14ac:dyDescent="0.3">
      <c r="A71" s="1">
        <v>45283</v>
      </c>
      <c r="B71">
        <v>122</v>
      </c>
      <c r="C71">
        <v>1947.8273880407</v>
      </c>
      <c r="D71">
        <v>2297.4780100047701</v>
      </c>
      <c r="E71">
        <v>76</v>
      </c>
      <c r="F71">
        <v>76</v>
      </c>
      <c r="K71">
        <v>0.53709212613767499</v>
      </c>
      <c r="L71">
        <v>1.64095723168865</v>
      </c>
      <c r="M71">
        <v>0.271860416072358</v>
      </c>
      <c r="N71">
        <v>3468</v>
      </c>
      <c r="R71">
        <v>4470191</v>
      </c>
      <c r="T71">
        <v>2069183</v>
      </c>
    </row>
    <row r="72" spans="1:20" x14ac:dyDescent="0.3">
      <c r="A72" s="1">
        <v>45284</v>
      </c>
      <c r="B72">
        <v>10</v>
      </c>
      <c r="C72">
        <v>1587.57743176658</v>
      </c>
      <c r="D72">
        <v>417.63448848748101</v>
      </c>
      <c r="K72">
        <v>0.325636608651035</v>
      </c>
      <c r="L72">
        <v>1.17004804194482</v>
      </c>
      <c r="M72">
        <v>0.25467820184260398</v>
      </c>
      <c r="N72">
        <v>782</v>
      </c>
      <c r="T72">
        <v>391406</v>
      </c>
    </row>
    <row r="73" spans="1:20" x14ac:dyDescent="0.3">
      <c r="A73" s="1">
        <v>45285</v>
      </c>
      <c r="B73">
        <v>31</v>
      </c>
      <c r="C73">
        <v>1651.10684066061</v>
      </c>
      <c r="D73">
        <v>1031.89533940459</v>
      </c>
      <c r="E73">
        <v>21</v>
      </c>
      <c r="F73">
        <v>19</v>
      </c>
      <c r="K73">
        <v>0.60488726136326898</v>
      </c>
      <c r="L73">
        <v>1.8902352634965101</v>
      </c>
      <c r="M73">
        <v>0.29360924935814697</v>
      </c>
      <c r="N73">
        <v>1599</v>
      </c>
      <c r="R73">
        <v>894258</v>
      </c>
      <c r="T73">
        <v>573985</v>
      </c>
    </row>
    <row r="74" spans="1:20" x14ac:dyDescent="0.3">
      <c r="A74" s="1">
        <v>45286</v>
      </c>
      <c r="B74">
        <v>1</v>
      </c>
      <c r="C74">
        <v>1565.74999999999</v>
      </c>
      <c r="D74">
        <v>56.3740062789239</v>
      </c>
      <c r="K74">
        <v>0.32079528585218797</v>
      </c>
      <c r="L74">
        <v>0.32623248906044</v>
      </c>
      <c r="M74">
        <v>0.315358082643936</v>
      </c>
      <c r="N74">
        <v>210</v>
      </c>
    </row>
    <row r="75" spans="1:20" x14ac:dyDescent="0.3">
      <c r="A75" s="1">
        <v>45287</v>
      </c>
      <c r="B75">
        <v>20</v>
      </c>
      <c r="C75">
        <v>1628.1225552053299</v>
      </c>
      <c r="D75">
        <v>1109.52985539408</v>
      </c>
      <c r="E75">
        <v>4</v>
      </c>
      <c r="F75">
        <v>4</v>
      </c>
      <c r="K75">
        <v>0.510871154615408</v>
      </c>
      <c r="L75">
        <v>1.5823166644562301</v>
      </c>
      <c r="M75">
        <v>0.271860416072358</v>
      </c>
      <c r="N75">
        <v>1806</v>
      </c>
      <c r="T75">
        <v>1118096</v>
      </c>
    </row>
    <row r="76" spans="1:20" x14ac:dyDescent="0.3">
      <c r="A76" s="1">
        <v>45288</v>
      </c>
      <c r="B76">
        <v>3</v>
      </c>
      <c r="C76">
        <v>1565.75</v>
      </c>
      <c r="D76">
        <v>113.528909751816</v>
      </c>
      <c r="K76">
        <v>0.39316980386754402</v>
      </c>
      <c r="L76">
        <v>0.478005290283677</v>
      </c>
      <c r="M76">
        <v>0.271860416072358</v>
      </c>
      <c r="N76">
        <v>263</v>
      </c>
    </row>
    <row r="77" spans="1:20" x14ac:dyDescent="0.3">
      <c r="A77" s="1">
        <v>45289</v>
      </c>
      <c r="C77">
        <v>1565.75</v>
      </c>
      <c r="D77">
        <v>57.416919874482097</v>
      </c>
      <c r="K77">
        <v>0.42232032703975098</v>
      </c>
      <c r="L77">
        <v>0.45725486649050601</v>
      </c>
      <c r="M77">
        <v>0.315358082643936</v>
      </c>
      <c r="N77">
        <v>257</v>
      </c>
    </row>
    <row r="78" spans="1:20" x14ac:dyDescent="0.3">
      <c r="A78" s="1">
        <v>45290</v>
      </c>
      <c r="B78">
        <v>11</v>
      </c>
      <c r="C78">
        <v>1601.1661473957899</v>
      </c>
      <c r="D78">
        <v>602.75504183996998</v>
      </c>
      <c r="E78">
        <v>3</v>
      </c>
      <c r="F78">
        <v>3</v>
      </c>
      <c r="K78">
        <v>0.59370413368625696</v>
      </c>
      <c r="L78">
        <v>1.4964965880911001</v>
      </c>
      <c r="M78">
        <v>0.258009439599301</v>
      </c>
      <c r="N78">
        <v>945</v>
      </c>
      <c r="T78">
        <v>635077</v>
      </c>
    </row>
    <row r="79" spans="1:20" x14ac:dyDescent="0.3">
      <c r="A79" s="1">
        <v>45291</v>
      </c>
      <c r="B79">
        <v>9</v>
      </c>
      <c r="C79">
        <v>1586.23330217796</v>
      </c>
      <c r="D79">
        <v>518.73836537619604</v>
      </c>
      <c r="E79">
        <v>2</v>
      </c>
      <c r="F79">
        <v>2</v>
      </c>
      <c r="K79">
        <v>0.43065823676650999</v>
      </c>
      <c r="L79">
        <v>1.34079274981702</v>
      </c>
      <c r="M79">
        <v>0.31270686424402599</v>
      </c>
      <c r="N79">
        <v>991</v>
      </c>
      <c r="T79">
        <v>367303</v>
      </c>
    </row>
    <row r="80" spans="1:20" x14ac:dyDescent="0.3">
      <c r="A80" s="1">
        <v>45292</v>
      </c>
      <c r="B80">
        <v>14</v>
      </c>
      <c r="C80">
        <v>1595.13288129074</v>
      </c>
      <c r="D80">
        <v>608.80866027018601</v>
      </c>
      <c r="K80">
        <v>0.37653435344724601</v>
      </c>
      <c r="L80">
        <v>1.3094639041979901</v>
      </c>
      <c r="M80">
        <v>0.271860416072358</v>
      </c>
      <c r="N80">
        <v>1108</v>
      </c>
      <c r="T80">
        <v>526889</v>
      </c>
    </row>
    <row r="81" spans="1:21" x14ac:dyDescent="0.3">
      <c r="A81" s="1">
        <v>45293</v>
      </c>
      <c r="B81">
        <v>148</v>
      </c>
      <c r="C81">
        <v>2029.26418737176</v>
      </c>
      <c r="D81">
        <v>8077.24664048668</v>
      </c>
      <c r="E81">
        <v>73</v>
      </c>
      <c r="F81">
        <v>73</v>
      </c>
      <c r="K81">
        <v>0.53644058702320896</v>
      </c>
      <c r="L81">
        <v>1.7591086959711399</v>
      </c>
      <c r="M81">
        <v>0.25011158278656997</v>
      </c>
      <c r="N81">
        <v>11646</v>
      </c>
      <c r="R81">
        <v>1316355</v>
      </c>
      <c r="T81">
        <v>6903504</v>
      </c>
    </row>
    <row r="82" spans="1:21" x14ac:dyDescent="0.3">
      <c r="A82" s="1">
        <v>45294</v>
      </c>
      <c r="B82">
        <v>19</v>
      </c>
      <c r="C82">
        <v>1627.08955441491</v>
      </c>
      <c r="D82">
        <v>1023.12162781215</v>
      </c>
      <c r="E82">
        <v>6</v>
      </c>
      <c r="F82">
        <v>6</v>
      </c>
      <c r="K82">
        <v>0.47915321955731199</v>
      </c>
      <c r="L82">
        <v>1.5223484583321401</v>
      </c>
      <c r="M82">
        <v>0.26098599942946399</v>
      </c>
      <c r="N82">
        <v>1584</v>
      </c>
      <c r="T82">
        <v>1099930</v>
      </c>
    </row>
    <row r="83" spans="1:21" x14ac:dyDescent="0.3">
      <c r="A83" s="1">
        <v>45295</v>
      </c>
      <c r="B83">
        <v>64</v>
      </c>
      <c r="C83">
        <v>1744.9463452520199</v>
      </c>
      <c r="D83">
        <v>3842.3758620499202</v>
      </c>
      <c r="E83">
        <v>34</v>
      </c>
      <c r="F83">
        <v>22</v>
      </c>
      <c r="K83">
        <v>0.78318570498428497</v>
      </c>
      <c r="L83">
        <v>2.0962124879329398</v>
      </c>
      <c r="M83">
        <v>0.26098599942946399</v>
      </c>
      <c r="N83">
        <v>5496</v>
      </c>
      <c r="T83">
        <v>3213317</v>
      </c>
    </row>
    <row r="84" spans="1:21" x14ac:dyDescent="0.3">
      <c r="A84" s="1">
        <v>45296</v>
      </c>
      <c r="B84">
        <v>10</v>
      </c>
      <c r="C84">
        <v>1574.0470376533499</v>
      </c>
      <c r="D84">
        <v>480.44304900630601</v>
      </c>
      <c r="K84">
        <v>0.348466572843111</v>
      </c>
      <c r="L84">
        <v>1.1016702182601701</v>
      </c>
      <c r="M84">
        <v>0.25011158278656997</v>
      </c>
      <c r="N84">
        <v>848</v>
      </c>
      <c r="T84">
        <v>148781</v>
      </c>
    </row>
    <row r="85" spans="1:21" x14ac:dyDescent="0.3">
      <c r="A85" s="1">
        <v>45297</v>
      </c>
      <c r="C85">
        <v>1565.75</v>
      </c>
      <c r="D85">
        <v>15.0066949671941</v>
      </c>
      <c r="K85">
        <v>0.25011158278656997</v>
      </c>
      <c r="L85">
        <v>0.25011158278656997</v>
      </c>
      <c r="M85">
        <v>0.25011158278656997</v>
      </c>
      <c r="N85">
        <v>43</v>
      </c>
    </row>
    <row r="86" spans="1:21" x14ac:dyDescent="0.3">
      <c r="A86" s="1">
        <v>45298</v>
      </c>
      <c r="B86">
        <v>9</v>
      </c>
      <c r="C86">
        <v>1581.1962276244201</v>
      </c>
      <c r="D86">
        <v>447.584070117539</v>
      </c>
      <c r="K86">
        <v>0.491808598995984</v>
      </c>
      <c r="L86">
        <v>1.0839761668188499</v>
      </c>
      <c r="M86">
        <v>0.271860416072358</v>
      </c>
      <c r="N86">
        <v>803</v>
      </c>
      <c r="T86">
        <v>276979</v>
      </c>
    </row>
    <row r="87" spans="1:21" x14ac:dyDescent="0.3">
      <c r="A87" s="1">
        <v>45299</v>
      </c>
      <c r="B87">
        <v>15</v>
      </c>
      <c r="C87">
        <v>1617.6938623927899</v>
      </c>
      <c r="D87">
        <v>712.57639009929301</v>
      </c>
      <c r="E87">
        <v>3</v>
      </c>
      <c r="F87">
        <v>3</v>
      </c>
      <c r="K87">
        <v>0.57299907107070003</v>
      </c>
      <c r="L87">
        <v>1.4705678030663001</v>
      </c>
      <c r="M87">
        <v>0.25011158278656997</v>
      </c>
      <c r="N87">
        <v>1185</v>
      </c>
      <c r="T87">
        <v>931448</v>
      </c>
    </row>
    <row r="88" spans="1:21" x14ac:dyDescent="0.3">
      <c r="A88" s="1">
        <v>45300</v>
      </c>
      <c r="B88">
        <v>5</v>
      </c>
      <c r="C88">
        <v>1565.75</v>
      </c>
      <c r="D88">
        <v>220.393841864205</v>
      </c>
      <c r="K88">
        <v>0.36993173520082501</v>
      </c>
      <c r="L88">
        <v>1.15064525726817</v>
      </c>
      <c r="M88">
        <v>0.271860416072358</v>
      </c>
      <c r="N88">
        <v>534</v>
      </c>
    </row>
    <row r="89" spans="1:21" x14ac:dyDescent="0.3">
      <c r="A89" s="1">
        <v>45301</v>
      </c>
      <c r="B89">
        <v>2</v>
      </c>
      <c r="C89">
        <v>1565.75</v>
      </c>
      <c r="D89">
        <v>112.87644475324301</v>
      </c>
      <c r="K89">
        <v>0.33939840530444199</v>
      </c>
      <c r="L89">
        <v>0.52848665728181698</v>
      </c>
      <c r="M89">
        <v>0.26098599942946399</v>
      </c>
      <c r="N89">
        <v>271</v>
      </c>
    </row>
    <row r="90" spans="1:21" x14ac:dyDescent="0.3">
      <c r="A90" s="1">
        <v>45302</v>
      </c>
      <c r="B90">
        <v>19</v>
      </c>
      <c r="C90">
        <v>1586.42950369597</v>
      </c>
      <c r="D90">
        <v>777.72420583078701</v>
      </c>
      <c r="E90">
        <v>1</v>
      </c>
      <c r="F90">
        <v>1</v>
      </c>
      <c r="K90">
        <v>0.60518843369294095</v>
      </c>
      <c r="L90">
        <v>1.4320418913169699</v>
      </c>
      <c r="M90">
        <v>0.26098599942946399</v>
      </c>
      <c r="N90">
        <v>1371</v>
      </c>
      <c r="T90">
        <v>370821</v>
      </c>
    </row>
    <row r="91" spans="1:21" x14ac:dyDescent="0.3">
      <c r="A91" s="1">
        <v>45303</v>
      </c>
      <c r="B91">
        <v>86</v>
      </c>
      <c r="C91">
        <v>1854.14157857283</v>
      </c>
      <c r="D91">
        <v>3180.2151434225502</v>
      </c>
      <c r="E91">
        <v>57</v>
      </c>
      <c r="F91">
        <v>57</v>
      </c>
      <c r="K91">
        <v>0.67489649063930601</v>
      </c>
      <c r="L91">
        <v>1.4242594413734</v>
      </c>
      <c r="M91">
        <v>0.315358082643936</v>
      </c>
      <c r="N91">
        <v>4604</v>
      </c>
      <c r="R91">
        <v>2232812</v>
      </c>
      <c r="T91">
        <v>2782871</v>
      </c>
    </row>
    <row r="92" spans="1:21" x14ac:dyDescent="0.3">
      <c r="A92" s="1">
        <v>45304</v>
      </c>
      <c r="B92">
        <v>1</v>
      </c>
      <c r="C92">
        <v>1565.75</v>
      </c>
      <c r="D92">
        <v>106.689742588732</v>
      </c>
      <c r="K92">
        <v>0.37290815776270497</v>
      </c>
      <c r="L92">
        <v>1.3064535627440099</v>
      </c>
      <c r="M92">
        <v>0.29360924935814697</v>
      </c>
      <c r="N92">
        <v>254</v>
      </c>
    </row>
    <row r="93" spans="1:21" x14ac:dyDescent="0.3">
      <c r="A93" s="1">
        <v>45305</v>
      </c>
      <c r="B93">
        <v>36</v>
      </c>
      <c r="C93">
        <v>1747.46977947916</v>
      </c>
      <c r="D93">
        <v>153.74008279860001</v>
      </c>
      <c r="E93">
        <v>32</v>
      </c>
      <c r="F93">
        <v>32</v>
      </c>
      <c r="K93">
        <v>0.391929696551783</v>
      </c>
      <c r="L93">
        <v>0.522930608231857</v>
      </c>
      <c r="M93">
        <v>0.32623246981076698</v>
      </c>
      <c r="N93">
        <v>265</v>
      </c>
      <c r="R93">
        <v>1949709</v>
      </c>
      <c r="T93">
        <v>1172895</v>
      </c>
    </row>
    <row r="94" spans="1:21" x14ac:dyDescent="0.3">
      <c r="A94" s="1">
        <v>45306</v>
      </c>
      <c r="B94">
        <v>31</v>
      </c>
      <c r="C94">
        <v>1656.57899775193</v>
      </c>
      <c r="D94">
        <v>1989.7371657835299</v>
      </c>
      <c r="E94">
        <v>17</v>
      </c>
      <c r="F94">
        <v>17</v>
      </c>
      <c r="K94">
        <v>0.56827437569066197</v>
      </c>
      <c r="L94">
        <v>1.3357218544349001</v>
      </c>
      <c r="M94">
        <v>0.252637209079906</v>
      </c>
      <c r="N94">
        <v>3084</v>
      </c>
      <c r="T94">
        <v>1628730</v>
      </c>
    </row>
    <row r="95" spans="1:21" x14ac:dyDescent="0.3">
      <c r="A95" s="1">
        <v>45307</v>
      </c>
      <c r="B95">
        <v>60</v>
      </c>
      <c r="C95">
        <v>1764.82617567888</v>
      </c>
      <c r="D95">
        <v>2644.94630853644</v>
      </c>
      <c r="E95">
        <v>39</v>
      </c>
      <c r="F95">
        <v>39</v>
      </c>
      <c r="K95">
        <v>0.57886971932527598</v>
      </c>
      <c r="L95">
        <v>1.4579745217881299</v>
      </c>
      <c r="M95">
        <v>0.25011158278656997</v>
      </c>
      <c r="N95">
        <v>3843</v>
      </c>
      <c r="R95">
        <v>1201154</v>
      </c>
      <c r="T95">
        <v>2091404</v>
      </c>
      <c r="U95">
        <v>84485</v>
      </c>
    </row>
    <row r="96" spans="1:21" x14ac:dyDescent="0.3">
      <c r="A96" s="1">
        <v>45308</v>
      </c>
      <c r="B96">
        <v>31</v>
      </c>
      <c r="C96">
        <v>1644.9471800911999</v>
      </c>
      <c r="D96">
        <v>2046.0274261817301</v>
      </c>
      <c r="E96">
        <v>18</v>
      </c>
      <c r="F96">
        <v>13</v>
      </c>
      <c r="K96">
        <v>0.61674951845624704</v>
      </c>
      <c r="L96">
        <v>2.2981873640714698</v>
      </c>
      <c r="M96">
        <v>0.26098599942946399</v>
      </c>
      <c r="N96">
        <v>2926</v>
      </c>
      <c r="T96">
        <v>1420150</v>
      </c>
    </row>
    <row r="97" spans="1:21" x14ac:dyDescent="0.3">
      <c r="A97" s="1">
        <v>45309</v>
      </c>
      <c r="B97">
        <v>79</v>
      </c>
      <c r="C97">
        <v>1848.5693881018899</v>
      </c>
      <c r="D97">
        <v>2799.3465462879799</v>
      </c>
      <c r="E97">
        <v>41</v>
      </c>
      <c r="F97">
        <v>41</v>
      </c>
      <c r="K97">
        <v>0.76043744322710105</v>
      </c>
      <c r="L97">
        <v>1.7604355816644499</v>
      </c>
      <c r="M97">
        <v>0.26466483130917701</v>
      </c>
      <c r="N97">
        <v>4161</v>
      </c>
      <c r="R97">
        <v>1707066</v>
      </c>
      <c r="T97">
        <v>3244883</v>
      </c>
    </row>
    <row r="98" spans="1:21" x14ac:dyDescent="0.3">
      <c r="A98" s="1">
        <v>45310</v>
      </c>
      <c r="B98">
        <v>83</v>
      </c>
      <c r="C98">
        <v>1810.0861802997299</v>
      </c>
      <c r="D98">
        <v>4077.3351865320601</v>
      </c>
      <c r="E98">
        <v>45</v>
      </c>
      <c r="F98">
        <v>45</v>
      </c>
      <c r="K98">
        <v>0.693172566888134</v>
      </c>
      <c r="L98">
        <v>1.6182189873903201</v>
      </c>
      <c r="M98">
        <v>0.271860416072358</v>
      </c>
      <c r="N98">
        <v>6244</v>
      </c>
      <c r="R98">
        <v>1113504</v>
      </c>
      <c r="T98">
        <v>3190239</v>
      </c>
    </row>
    <row r="99" spans="1:21" x14ac:dyDescent="0.3">
      <c r="A99" s="1">
        <v>45311</v>
      </c>
      <c r="B99">
        <v>112</v>
      </c>
      <c r="C99">
        <v>1836.2685488775001</v>
      </c>
      <c r="D99">
        <v>3486.0977261575099</v>
      </c>
      <c r="E99">
        <v>42</v>
      </c>
      <c r="F99">
        <v>42</v>
      </c>
      <c r="K99">
        <v>0.45826732601146097</v>
      </c>
      <c r="L99">
        <v>1.8823219066827399</v>
      </c>
      <c r="M99">
        <v>0.28273483271525301</v>
      </c>
      <c r="N99">
        <v>5424</v>
      </c>
      <c r="R99">
        <v>2131990</v>
      </c>
      <c r="T99">
        <v>2570225</v>
      </c>
    </row>
    <row r="100" spans="1:21" x14ac:dyDescent="0.3">
      <c r="A100" s="1">
        <v>45312</v>
      </c>
      <c r="B100">
        <v>147</v>
      </c>
      <c r="C100">
        <v>2023.3134109667601</v>
      </c>
      <c r="D100">
        <v>9778.2214726993407</v>
      </c>
      <c r="E100">
        <v>83</v>
      </c>
      <c r="F100">
        <v>83</v>
      </c>
      <c r="K100">
        <v>0.75107526677043901</v>
      </c>
      <c r="L100">
        <v>1.7431992383633199</v>
      </c>
      <c r="M100">
        <v>0.25011158278656997</v>
      </c>
      <c r="N100">
        <v>13855</v>
      </c>
      <c r="T100">
        <v>8200964</v>
      </c>
    </row>
    <row r="101" spans="1:21" x14ac:dyDescent="0.3">
      <c r="A101" s="1">
        <v>45313</v>
      </c>
      <c r="B101">
        <v>113</v>
      </c>
      <c r="C101">
        <v>1808.4761051723999</v>
      </c>
      <c r="D101">
        <v>4771.2829240574902</v>
      </c>
      <c r="E101">
        <v>40</v>
      </c>
      <c r="F101">
        <v>39</v>
      </c>
      <c r="K101">
        <v>0.46428072401602999</v>
      </c>
      <c r="L101">
        <v>2.12242122530848</v>
      </c>
      <c r="M101">
        <v>0.24917012244099801</v>
      </c>
      <c r="N101">
        <v>7429</v>
      </c>
      <c r="R101">
        <v>1341175</v>
      </c>
      <c r="T101">
        <v>2917819</v>
      </c>
    </row>
    <row r="102" spans="1:21" x14ac:dyDescent="0.3">
      <c r="A102" s="1">
        <v>45314</v>
      </c>
      <c r="B102">
        <v>49</v>
      </c>
      <c r="C102">
        <v>1712.9126754516401</v>
      </c>
      <c r="D102">
        <v>1101.2253095594899</v>
      </c>
      <c r="E102">
        <v>26</v>
      </c>
      <c r="F102">
        <v>26</v>
      </c>
      <c r="K102">
        <v>0.80968092098078004</v>
      </c>
      <c r="L102">
        <v>1.5464654910583999</v>
      </c>
      <c r="M102">
        <v>0.25011158278656997</v>
      </c>
      <c r="N102">
        <v>1867</v>
      </c>
      <c r="R102">
        <v>1661354</v>
      </c>
      <c r="T102">
        <v>861688</v>
      </c>
    </row>
    <row r="103" spans="1:21" x14ac:dyDescent="0.3">
      <c r="A103" s="1">
        <v>45315</v>
      </c>
      <c r="B103">
        <v>99</v>
      </c>
      <c r="C103">
        <v>1825.2785553241299</v>
      </c>
      <c r="D103">
        <v>4536.5379741001298</v>
      </c>
      <c r="E103">
        <v>44</v>
      </c>
      <c r="F103">
        <v>44</v>
      </c>
      <c r="K103">
        <v>0.50278705618748498</v>
      </c>
      <c r="L103">
        <v>1.68916383872422</v>
      </c>
      <c r="M103">
        <v>0.25011158278656997</v>
      </c>
      <c r="N103">
        <v>6679</v>
      </c>
      <c r="R103">
        <v>1374410</v>
      </c>
      <c r="T103">
        <v>3183566</v>
      </c>
    </row>
    <row r="104" spans="1:21" x14ac:dyDescent="0.3">
      <c r="A104" s="1">
        <v>45316</v>
      </c>
      <c r="B104">
        <v>75</v>
      </c>
      <c r="C104">
        <v>1796.1802039827401</v>
      </c>
      <c r="D104">
        <v>2358.4434625765398</v>
      </c>
      <c r="E104">
        <v>46</v>
      </c>
      <c r="F104">
        <v>46</v>
      </c>
      <c r="K104">
        <v>0.59897419817917097</v>
      </c>
      <c r="L104">
        <v>1.9150029210509301</v>
      </c>
      <c r="M104">
        <v>0.26098599942946399</v>
      </c>
      <c r="N104">
        <v>3547</v>
      </c>
      <c r="R104">
        <v>2231149</v>
      </c>
      <c r="T104">
        <v>1745294</v>
      </c>
    </row>
    <row r="105" spans="1:21" x14ac:dyDescent="0.3">
      <c r="A105" s="1">
        <v>45317</v>
      </c>
      <c r="B105">
        <v>185</v>
      </c>
      <c r="C105">
        <v>2162.9682010074798</v>
      </c>
      <c r="D105">
        <v>3556.42446855249</v>
      </c>
      <c r="E105">
        <v>139</v>
      </c>
      <c r="F105">
        <v>139</v>
      </c>
      <c r="K105">
        <v>0.389027696591978</v>
      </c>
      <c r="L105">
        <v>1.40718127957032</v>
      </c>
      <c r="M105">
        <v>0.25011158278656997</v>
      </c>
      <c r="N105">
        <v>5242</v>
      </c>
      <c r="R105">
        <v>7284445</v>
      </c>
      <c r="T105">
        <v>2916785</v>
      </c>
    </row>
    <row r="106" spans="1:21" x14ac:dyDescent="0.3">
      <c r="A106" s="1">
        <v>45318</v>
      </c>
      <c r="B106">
        <v>255</v>
      </c>
      <c r="C106">
        <v>2310.9798734470801</v>
      </c>
      <c r="D106">
        <v>13447.3306595788</v>
      </c>
      <c r="E106">
        <v>59</v>
      </c>
      <c r="F106">
        <v>58</v>
      </c>
      <c r="K106">
        <v>0.61623550121308202</v>
      </c>
      <c r="L106">
        <v>2.15356552070552</v>
      </c>
      <c r="M106">
        <v>0.244331101813476</v>
      </c>
      <c r="N106">
        <v>19898</v>
      </c>
      <c r="T106">
        <v>13125504</v>
      </c>
      <c r="U106">
        <v>100187</v>
      </c>
    </row>
    <row r="107" spans="1:21" x14ac:dyDescent="0.3">
      <c r="A107" s="1">
        <v>45319</v>
      </c>
      <c r="B107">
        <v>220</v>
      </c>
      <c r="C107">
        <v>2108.5351536959201</v>
      </c>
      <c r="D107">
        <v>10304.604386478701</v>
      </c>
      <c r="E107">
        <v>37</v>
      </c>
      <c r="F107">
        <v>35</v>
      </c>
      <c r="K107">
        <v>0.64669848012989894</v>
      </c>
      <c r="L107">
        <v>2.5214646227259299</v>
      </c>
      <c r="M107">
        <v>0.25933299620230299</v>
      </c>
      <c r="N107">
        <v>15465</v>
      </c>
      <c r="T107">
        <v>9458086</v>
      </c>
      <c r="U107">
        <v>106149</v>
      </c>
    </row>
    <row r="108" spans="1:21" x14ac:dyDescent="0.3">
      <c r="A108" s="1">
        <v>45320</v>
      </c>
      <c r="B108">
        <v>46</v>
      </c>
      <c r="C108">
        <v>1691.8977941898199</v>
      </c>
      <c r="D108">
        <v>1837.6268836471099</v>
      </c>
      <c r="E108">
        <v>17</v>
      </c>
      <c r="F108">
        <v>17</v>
      </c>
      <c r="K108">
        <v>0.52727642808116604</v>
      </c>
      <c r="L108">
        <v>2.0061278624037802</v>
      </c>
      <c r="M108">
        <v>0.29360924935814697</v>
      </c>
      <c r="N108">
        <v>2875</v>
      </c>
      <c r="R108">
        <v>712741</v>
      </c>
      <c r="T108">
        <v>1499616</v>
      </c>
    </row>
    <row r="109" spans="1:21" x14ac:dyDescent="0.3">
      <c r="A109" s="1">
        <v>45321</v>
      </c>
      <c r="B109">
        <v>113</v>
      </c>
      <c r="C109">
        <v>1893.5549449242901</v>
      </c>
      <c r="D109">
        <v>5181.1088791018501</v>
      </c>
      <c r="E109">
        <v>52</v>
      </c>
      <c r="F109">
        <v>50</v>
      </c>
      <c r="K109">
        <v>0.45417362902543201</v>
      </c>
      <c r="L109">
        <v>1.90626799314079</v>
      </c>
      <c r="M109">
        <v>0.25011158278656997</v>
      </c>
      <c r="N109">
        <v>7546</v>
      </c>
      <c r="R109">
        <v>1381382</v>
      </c>
      <c r="T109">
        <v>4400428</v>
      </c>
    </row>
    <row r="110" spans="1:21" x14ac:dyDescent="0.3">
      <c r="A110" s="1">
        <v>45322</v>
      </c>
      <c r="B110">
        <v>94</v>
      </c>
      <c r="C110">
        <v>1890.47424629596</v>
      </c>
      <c r="D110">
        <v>2442.0519457829901</v>
      </c>
      <c r="E110">
        <v>59</v>
      </c>
      <c r="F110">
        <v>59</v>
      </c>
      <c r="K110">
        <v>0.47592680590638098</v>
      </c>
      <c r="L110">
        <v>1.51062666744378</v>
      </c>
      <c r="M110">
        <v>0.25193731322073798</v>
      </c>
      <c r="N110">
        <v>3907</v>
      </c>
      <c r="R110">
        <v>3213890</v>
      </c>
      <c r="T110">
        <v>2384888</v>
      </c>
    </row>
    <row r="111" spans="1:21" x14ac:dyDescent="0.3">
      <c r="A111" s="1">
        <v>45323</v>
      </c>
      <c r="B111">
        <v>63</v>
      </c>
      <c r="C111">
        <v>1798.43908167888</v>
      </c>
      <c r="D111">
        <v>1662.65136293623</v>
      </c>
      <c r="E111">
        <v>42</v>
      </c>
      <c r="F111">
        <v>42</v>
      </c>
      <c r="K111">
        <v>0.62362841110397704</v>
      </c>
      <c r="L111">
        <v>1.6993877150054999</v>
      </c>
      <c r="M111">
        <v>0.25011158278656997</v>
      </c>
      <c r="N111">
        <v>2551</v>
      </c>
      <c r="R111">
        <v>2120661</v>
      </c>
      <c r="T111">
        <v>1900416</v>
      </c>
    </row>
    <row r="112" spans="1:21" x14ac:dyDescent="0.3">
      <c r="A112" s="1">
        <v>45324</v>
      </c>
      <c r="B112">
        <v>109</v>
      </c>
      <c r="C112">
        <v>1914.5973916266601</v>
      </c>
      <c r="D112">
        <v>3103.9676462295101</v>
      </c>
      <c r="E112">
        <v>58</v>
      </c>
      <c r="F112">
        <v>58</v>
      </c>
      <c r="K112">
        <v>0.63392741778468897</v>
      </c>
      <c r="L112">
        <v>1.6070265755933999</v>
      </c>
      <c r="M112">
        <v>0.25011158278656997</v>
      </c>
      <c r="N112">
        <v>4764</v>
      </c>
      <c r="R112">
        <v>3201435</v>
      </c>
      <c r="T112">
        <v>2830783</v>
      </c>
    </row>
    <row r="113" spans="1:21" x14ac:dyDescent="0.3">
      <c r="A113" s="1">
        <v>45325</v>
      </c>
      <c r="B113">
        <v>146</v>
      </c>
      <c r="C113">
        <v>2022.3240205781101</v>
      </c>
      <c r="D113">
        <v>3216.1334137389499</v>
      </c>
      <c r="E113">
        <v>98</v>
      </c>
      <c r="F113">
        <v>98</v>
      </c>
      <c r="K113">
        <v>0.44354899048067398</v>
      </c>
      <c r="L113">
        <v>1.7570384572600499</v>
      </c>
      <c r="M113">
        <v>0.24992964497994399</v>
      </c>
      <c r="N113">
        <v>4977</v>
      </c>
      <c r="R113">
        <v>5282124</v>
      </c>
      <c r="T113">
        <v>2536732</v>
      </c>
    </row>
    <row r="114" spans="1:21" x14ac:dyDescent="0.3">
      <c r="A114" s="1">
        <v>45326</v>
      </c>
      <c r="B114">
        <v>9</v>
      </c>
      <c r="C114">
        <v>1590.0270452539901</v>
      </c>
      <c r="D114">
        <v>408.86730429716198</v>
      </c>
      <c r="K114">
        <v>0.32771857158116902</v>
      </c>
      <c r="L114">
        <v>1.3881720326707201</v>
      </c>
      <c r="M114">
        <v>0.25011158278656997</v>
      </c>
      <c r="N114">
        <v>734</v>
      </c>
      <c r="T114">
        <v>435332</v>
      </c>
    </row>
    <row r="115" spans="1:21" x14ac:dyDescent="0.3">
      <c r="A115" s="1">
        <v>45327</v>
      </c>
      <c r="B115">
        <v>139</v>
      </c>
      <c r="C115">
        <v>2032.6669168144599</v>
      </c>
      <c r="D115">
        <v>4199.6345291150801</v>
      </c>
      <c r="E115">
        <v>77</v>
      </c>
      <c r="F115">
        <v>77</v>
      </c>
      <c r="K115">
        <v>0.59466683184197899</v>
      </c>
      <c r="L115">
        <v>1.7579911868143501</v>
      </c>
      <c r="M115">
        <v>0.26098599942946399</v>
      </c>
      <c r="N115">
        <v>6205</v>
      </c>
      <c r="R115">
        <v>3544707</v>
      </c>
      <c r="T115">
        <v>4580573</v>
      </c>
    </row>
    <row r="116" spans="1:21" x14ac:dyDescent="0.3">
      <c r="A116" s="1">
        <v>45328</v>
      </c>
      <c r="B116">
        <v>130</v>
      </c>
      <c r="C116">
        <v>2017.2846974305201</v>
      </c>
      <c r="D116">
        <v>5242.1387662892403</v>
      </c>
      <c r="E116">
        <v>54</v>
      </c>
      <c r="F116">
        <v>54</v>
      </c>
      <c r="K116">
        <v>0.52831073215559299</v>
      </c>
      <c r="L116">
        <v>1.5639611928797601</v>
      </c>
      <c r="M116">
        <v>0.25011158278656997</v>
      </c>
      <c r="N116">
        <v>8044</v>
      </c>
      <c r="R116">
        <v>2139381</v>
      </c>
      <c r="T116">
        <v>5808271</v>
      </c>
    </row>
    <row r="117" spans="1:21" x14ac:dyDescent="0.3">
      <c r="A117" s="1">
        <v>45329</v>
      </c>
      <c r="B117">
        <v>130</v>
      </c>
      <c r="C117">
        <v>2033.0802436855199</v>
      </c>
      <c r="D117">
        <v>5459.7624319591996</v>
      </c>
      <c r="E117">
        <v>50</v>
      </c>
      <c r="F117">
        <v>50</v>
      </c>
      <c r="K117">
        <v>0.56383329226816603</v>
      </c>
      <c r="L117">
        <v>1.7089553736248999</v>
      </c>
      <c r="M117">
        <v>0.249852325090651</v>
      </c>
      <c r="N117">
        <v>8288</v>
      </c>
      <c r="R117">
        <v>1587448</v>
      </c>
      <c r="T117">
        <v>6292678</v>
      </c>
      <c r="U117">
        <v>169974</v>
      </c>
    </row>
    <row r="118" spans="1:21" x14ac:dyDescent="0.3">
      <c r="A118" s="1">
        <v>45330</v>
      </c>
      <c r="B118">
        <v>74</v>
      </c>
      <c r="C118">
        <v>1777.4593407397699</v>
      </c>
      <c r="D118">
        <v>2639.4365107487702</v>
      </c>
      <c r="E118">
        <v>33</v>
      </c>
      <c r="F118">
        <v>33</v>
      </c>
      <c r="K118">
        <v>0.62939902736891695</v>
      </c>
      <c r="L118">
        <v>1.53115349325685</v>
      </c>
      <c r="M118">
        <v>0.26098599942946399</v>
      </c>
      <c r="N118">
        <v>4161</v>
      </c>
      <c r="R118">
        <v>1547739</v>
      </c>
      <c r="T118">
        <v>2140664</v>
      </c>
    </row>
    <row r="119" spans="1:21" x14ac:dyDescent="0.3">
      <c r="A119" s="1">
        <v>45331</v>
      </c>
      <c r="B119">
        <v>128</v>
      </c>
      <c r="C119">
        <v>2017.76676902431</v>
      </c>
      <c r="D119">
        <v>4959.3662920200204</v>
      </c>
      <c r="E119">
        <v>66</v>
      </c>
      <c r="F119">
        <v>66</v>
      </c>
      <c r="K119">
        <v>0.54829613846021197</v>
      </c>
      <c r="L119">
        <v>1.5337883294530501</v>
      </c>
      <c r="M119">
        <v>0.26098599942946399</v>
      </c>
      <c r="N119">
        <v>7482</v>
      </c>
      <c r="R119">
        <v>2524732</v>
      </c>
      <c r="T119">
        <v>5404692</v>
      </c>
    </row>
    <row r="120" spans="1:21" x14ac:dyDescent="0.3">
      <c r="A120" s="1">
        <v>45332</v>
      </c>
      <c r="B120">
        <v>80</v>
      </c>
      <c r="C120">
        <v>1872.05644671081</v>
      </c>
      <c r="D120">
        <v>4979.3429816422904</v>
      </c>
      <c r="E120">
        <v>35</v>
      </c>
      <c r="F120">
        <v>34</v>
      </c>
      <c r="K120">
        <v>0.50319108077126995</v>
      </c>
      <c r="L120">
        <v>1.88747501415894</v>
      </c>
      <c r="M120">
        <v>0.25011158278656997</v>
      </c>
      <c r="N120">
        <v>7213</v>
      </c>
      <c r="T120">
        <v>5492633</v>
      </c>
    </row>
    <row r="121" spans="1:21" x14ac:dyDescent="0.3">
      <c r="A121" s="1">
        <v>45333</v>
      </c>
      <c r="B121">
        <v>172</v>
      </c>
      <c r="C121">
        <v>2135.5107059536699</v>
      </c>
      <c r="D121">
        <v>11326.0151752819</v>
      </c>
      <c r="E121">
        <v>110</v>
      </c>
      <c r="F121">
        <v>109</v>
      </c>
      <c r="K121">
        <v>0.58135474594501602</v>
      </c>
      <c r="L121">
        <v>2.066467689045</v>
      </c>
      <c r="M121">
        <v>0.25011158278656997</v>
      </c>
      <c r="N121">
        <v>16250</v>
      </c>
      <c r="T121">
        <v>10216848</v>
      </c>
    </row>
    <row r="122" spans="1:21" x14ac:dyDescent="0.3">
      <c r="A122" s="1">
        <v>45334</v>
      </c>
      <c r="B122">
        <v>96</v>
      </c>
      <c r="C122">
        <v>1913.0420679866199</v>
      </c>
      <c r="D122">
        <v>2388.44904186965</v>
      </c>
      <c r="E122">
        <v>58</v>
      </c>
      <c r="F122">
        <v>58</v>
      </c>
      <c r="K122">
        <v>0.52989756004160304</v>
      </c>
      <c r="L122">
        <v>1.4943348020596801</v>
      </c>
      <c r="M122">
        <v>0.26427340262837501</v>
      </c>
      <c r="N122">
        <v>3638</v>
      </c>
      <c r="R122">
        <v>3224376</v>
      </c>
      <c r="T122">
        <v>2778353</v>
      </c>
    </row>
    <row r="123" spans="1:21" x14ac:dyDescent="0.3">
      <c r="A123" s="1">
        <v>45335</v>
      </c>
      <c r="B123">
        <v>104</v>
      </c>
      <c r="C123">
        <v>1863.7814012562001</v>
      </c>
      <c r="D123">
        <v>2628.5683741692901</v>
      </c>
      <c r="E123">
        <v>48</v>
      </c>
      <c r="F123">
        <v>48</v>
      </c>
      <c r="K123">
        <v>0.57420960885728201</v>
      </c>
      <c r="L123">
        <v>1.50776766648353</v>
      </c>
      <c r="M123">
        <v>0.25011158278656997</v>
      </c>
      <c r="N123">
        <v>4036</v>
      </c>
      <c r="R123">
        <v>2810147</v>
      </c>
      <c r="T123">
        <v>2338134</v>
      </c>
    </row>
    <row r="124" spans="1:21" x14ac:dyDescent="0.3">
      <c r="A124" s="1">
        <v>45336</v>
      </c>
      <c r="B124">
        <v>66</v>
      </c>
      <c r="C124">
        <v>1750.09064120584</v>
      </c>
      <c r="D124">
        <v>3120.7875091391402</v>
      </c>
      <c r="E124">
        <v>27</v>
      </c>
      <c r="F124">
        <v>27</v>
      </c>
      <c r="K124">
        <v>0.53975281519706697</v>
      </c>
      <c r="L124">
        <v>1.5684160424567</v>
      </c>
      <c r="M124">
        <v>0.25011158278656997</v>
      </c>
      <c r="N124">
        <v>4682</v>
      </c>
      <c r="R124">
        <v>793995</v>
      </c>
      <c r="T124">
        <v>2456201</v>
      </c>
    </row>
    <row r="125" spans="1:21" x14ac:dyDescent="0.3">
      <c r="A125" s="1">
        <v>45337</v>
      </c>
      <c r="B125">
        <v>59</v>
      </c>
      <c r="C125">
        <v>1720.6751157801</v>
      </c>
      <c r="D125">
        <v>2218.90804505093</v>
      </c>
      <c r="E125">
        <v>31</v>
      </c>
      <c r="F125">
        <v>30</v>
      </c>
      <c r="K125">
        <v>0.55091404478333805</v>
      </c>
      <c r="L125">
        <v>2.0348322510752199</v>
      </c>
      <c r="M125">
        <v>0.25127391547000999</v>
      </c>
      <c r="N125">
        <v>3362</v>
      </c>
      <c r="R125">
        <v>1295382</v>
      </c>
      <c r="T125">
        <v>1392375</v>
      </c>
    </row>
    <row r="126" spans="1:21" x14ac:dyDescent="0.3">
      <c r="A126" s="1">
        <v>45338</v>
      </c>
      <c r="B126">
        <v>84</v>
      </c>
      <c r="C126">
        <v>1841.8018148450101</v>
      </c>
      <c r="D126">
        <v>3379.63421333922</v>
      </c>
      <c r="E126">
        <v>20</v>
      </c>
      <c r="F126">
        <v>20</v>
      </c>
      <c r="K126">
        <v>0.60031945309981605</v>
      </c>
      <c r="L126">
        <v>1.5916269117284501</v>
      </c>
      <c r="M126">
        <v>0.271860416072358</v>
      </c>
      <c r="N126">
        <v>5313</v>
      </c>
      <c r="R126">
        <v>754468</v>
      </c>
      <c r="T126">
        <v>4143030</v>
      </c>
    </row>
    <row r="127" spans="1:21" x14ac:dyDescent="0.3">
      <c r="A127" s="1">
        <v>45339</v>
      </c>
      <c r="B127">
        <v>155</v>
      </c>
      <c r="C127">
        <v>2020.17876702426</v>
      </c>
      <c r="D127">
        <v>5973.0806922669999</v>
      </c>
      <c r="E127">
        <v>64</v>
      </c>
      <c r="F127">
        <v>64</v>
      </c>
      <c r="K127">
        <v>0.566565218290636</v>
      </c>
      <c r="L127">
        <v>1.6164040590783899</v>
      </c>
      <c r="M127">
        <v>0.250563276465957</v>
      </c>
      <c r="N127">
        <v>9040</v>
      </c>
      <c r="R127">
        <v>2267070</v>
      </c>
      <c r="T127">
        <v>5723574</v>
      </c>
    </row>
    <row r="128" spans="1:21" x14ac:dyDescent="0.3">
      <c r="A128" s="1">
        <v>45340</v>
      </c>
      <c r="B128">
        <v>46</v>
      </c>
      <c r="C128">
        <v>1726.9659914814799</v>
      </c>
      <c r="D128">
        <v>242.06451447082799</v>
      </c>
      <c r="E128">
        <v>43</v>
      </c>
      <c r="F128">
        <v>43</v>
      </c>
      <c r="K128">
        <v>0.30868757987166701</v>
      </c>
      <c r="L128">
        <v>0.68643579360099705</v>
      </c>
      <c r="M128">
        <v>0.24784276036873101</v>
      </c>
      <c r="N128">
        <v>547</v>
      </c>
      <c r="R128">
        <v>2607597</v>
      </c>
      <c r="T128">
        <v>101459</v>
      </c>
    </row>
    <row r="129" spans="1:20" x14ac:dyDescent="0.3">
      <c r="A129" s="1">
        <v>45341</v>
      </c>
      <c r="B129">
        <v>80</v>
      </c>
      <c r="C129">
        <v>1777.58895647397</v>
      </c>
      <c r="D129">
        <v>3546.8755536695298</v>
      </c>
      <c r="E129">
        <v>35</v>
      </c>
      <c r="F129">
        <v>35</v>
      </c>
      <c r="K129">
        <v>0.48597946587172097</v>
      </c>
      <c r="L129">
        <v>1.5188774590923999</v>
      </c>
      <c r="M129">
        <v>0.243377179301632</v>
      </c>
      <c r="N129">
        <v>5217</v>
      </c>
      <c r="R129">
        <v>1063999</v>
      </c>
      <c r="T129">
        <v>2660462</v>
      </c>
    </row>
    <row r="130" spans="1:20" x14ac:dyDescent="0.3">
      <c r="A130" s="1">
        <v>45342</v>
      </c>
      <c r="B130">
        <v>92</v>
      </c>
      <c r="C130">
        <v>1830.4644448112699</v>
      </c>
      <c r="D130">
        <v>4157.75184862078</v>
      </c>
      <c r="E130">
        <v>33</v>
      </c>
      <c r="F130">
        <v>33</v>
      </c>
      <c r="K130">
        <v>0.52356778185048902</v>
      </c>
      <c r="L130">
        <v>1.7599311477944</v>
      </c>
      <c r="M130">
        <v>0.25011158278656997</v>
      </c>
      <c r="N130">
        <v>6301</v>
      </c>
      <c r="R130">
        <v>962008</v>
      </c>
      <c r="T130">
        <v>3717718</v>
      </c>
    </row>
    <row r="131" spans="1:20" x14ac:dyDescent="0.3">
      <c r="A131" s="1">
        <v>45343</v>
      </c>
      <c r="B131">
        <v>77</v>
      </c>
      <c r="C131">
        <v>1821.04749418191</v>
      </c>
      <c r="D131">
        <v>3643.5507507288098</v>
      </c>
      <c r="E131">
        <v>30</v>
      </c>
      <c r="F131">
        <v>30</v>
      </c>
      <c r="K131">
        <v>0.48693787972512798</v>
      </c>
      <c r="L131">
        <v>1.66494082489049</v>
      </c>
      <c r="M131">
        <v>0.271860416072358</v>
      </c>
      <c r="N131">
        <v>5594</v>
      </c>
      <c r="R131">
        <v>865846</v>
      </c>
      <c r="T131">
        <v>3651721</v>
      </c>
    </row>
    <row r="132" spans="1:20" x14ac:dyDescent="0.3">
      <c r="A132" s="1">
        <v>45344</v>
      </c>
      <c r="B132">
        <v>83</v>
      </c>
      <c r="C132">
        <v>1813.36849612637</v>
      </c>
      <c r="D132">
        <v>3986.4083383351199</v>
      </c>
      <c r="E132">
        <v>40</v>
      </c>
      <c r="F132">
        <v>40</v>
      </c>
      <c r="K132">
        <v>0.57591954631101505</v>
      </c>
      <c r="L132">
        <v>1.79058928997498</v>
      </c>
      <c r="M132">
        <v>0.247140765283997</v>
      </c>
      <c r="N132">
        <v>5861</v>
      </c>
      <c r="R132">
        <v>1055036</v>
      </c>
      <c r="T132">
        <v>3311643</v>
      </c>
    </row>
    <row r="133" spans="1:20" x14ac:dyDescent="0.3">
      <c r="A133" s="1">
        <v>45345</v>
      </c>
      <c r="B133">
        <v>76</v>
      </c>
      <c r="C133">
        <v>1737.7124411643099</v>
      </c>
      <c r="D133">
        <v>3367.7655268671701</v>
      </c>
      <c r="E133">
        <v>25</v>
      </c>
      <c r="F133">
        <v>25</v>
      </c>
      <c r="K133">
        <v>0.50117989904117199</v>
      </c>
      <c r="L133">
        <v>1.4620178297684101</v>
      </c>
      <c r="M133">
        <v>0.25011158278656997</v>
      </c>
      <c r="N133">
        <v>5110</v>
      </c>
      <c r="R133">
        <v>653858</v>
      </c>
      <c r="T133">
        <v>2384145</v>
      </c>
    </row>
    <row r="134" spans="1:20" x14ac:dyDescent="0.3">
      <c r="A134" s="1">
        <v>45346</v>
      </c>
      <c r="B134">
        <v>43</v>
      </c>
      <c r="C134">
        <v>1682.2509384027701</v>
      </c>
      <c r="D134">
        <v>794.70367960512306</v>
      </c>
      <c r="E134">
        <v>23</v>
      </c>
      <c r="F134">
        <v>23</v>
      </c>
      <c r="K134">
        <v>0.65636583858429598</v>
      </c>
      <c r="L134">
        <v>1.3967134847270399</v>
      </c>
      <c r="M134">
        <v>0.27274490262385698</v>
      </c>
      <c r="N134">
        <v>1370</v>
      </c>
      <c r="R134">
        <v>1490819</v>
      </c>
      <c r="T134">
        <v>494293</v>
      </c>
    </row>
    <row r="135" spans="1:20" x14ac:dyDescent="0.3">
      <c r="A135" s="1">
        <v>45347</v>
      </c>
      <c r="B135">
        <v>87</v>
      </c>
      <c r="C135">
        <v>1642.53867013842</v>
      </c>
      <c r="D135">
        <v>4715.2592824419899</v>
      </c>
      <c r="E135">
        <v>28</v>
      </c>
      <c r="F135">
        <v>28</v>
      </c>
      <c r="K135">
        <v>0.52114458948099296</v>
      </c>
      <c r="L135">
        <v>1.6357703685457201</v>
      </c>
      <c r="M135">
        <v>0.25011158278656997</v>
      </c>
      <c r="N135">
        <v>7137</v>
      </c>
      <c r="T135">
        <v>1376962</v>
      </c>
    </row>
    <row r="136" spans="1:20" x14ac:dyDescent="0.3">
      <c r="A136" s="1">
        <v>45348</v>
      </c>
      <c r="B136">
        <v>135</v>
      </c>
      <c r="C136">
        <v>2000.74072890292</v>
      </c>
      <c r="D136">
        <v>4334.6117963370698</v>
      </c>
      <c r="E136">
        <v>64</v>
      </c>
      <c r="F136">
        <v>64</v>
      </c>
      <c r="K136">
        <v>0.65900709346083097</v>
      </c>
      <c r="L136">
        <v>1.76135505414393</v>
      </c>
      <c r="M136">
        <v>0.242245128830788</v>
      </c>
      <c r="N136">
        <v>6458</v>
      </c>
      <c r="R136">
        <v>3068244</v>
      </c>
      <c r="T136">
        <v>4517969</v>
      </c>
    </row>
    <row r="137" spans="1:20" x14ac:dyDescent="0.3">
      <c r="A137" s="1">
        <v>45349</v>
      </c>
      <c r="B137">
        <v>81</v>
      </c>
      <c r="C137">
        <v>1795.4919188444601</v>
      </c>
      <c r="D137">
        <v>3733.3126378074098</v>
      </c>
      <c r="E137">
        <v>40</v>
      </c>
      <c r="F137">
        <v>40</v>
      </c>
      <c r="K137">
        <v>0.58436315366479696</v>
      </c>
      <c r="L137">
        <v>1.8096542232223001</v>
      </c>
      <c r="M137">
        <v>0.25011158278656997</v>
      </c>
      <c r="N137">
        <v>5566</v>
      </c>
      <c r="R137">
        <v>1209407</v>
      </c>
      <c r="T137">
        <v>2812875</v>
      </c>
    </row>
    <row r="138" spans="1:20" x14ac:dyDescent="0.3">
      <c r="A138" s="1">
        <v>45350</v>
      </c>
      <c r="B138">
        <v>70</v>
      </c>
      <c r="C138">
        <v>1794.97946694901</v>
      </c>
      <c r="D138">
        <v>3508.46935490129</v>
      </c>
      <c r="E138">
        <v>14</v>
      </c>
      <c r="F138">
        <v>12</v>
      </c>
      <c r="K138">
        <v>0.62961614183097403</v>
      </c>
      <c r="L138">
        <v>2.0555003143358301</v>
      </c>
      <c r="M138">
        <v>0.25065729501174699</v>
      </c>
      <c r="N138">
        <v>5353</v>
      </c>
      <c r="T138">
        <v>4070236</v>
      </c>
    </row>
    <row r="139" spans="1:20" x14ac:dyDescent="0.3">
      <c r="A139" s="1">
        <v>45351</v>
      </c>
      <c r="B139">
        <v>148</v>
      </c>
      <c r="C139">
        <v>2042.83017950061</v>
      </c>
      <c r="D139">
        <v>5429.9243762412898</v>
      </c>
      <c r="E139">
        <v>81</v>
      </c>
      <c r="F139">
        <v>81</v>
      </c>
      <c r="K139">
        <v>0.63477747090365</v>
      </c>
      <c r="L139">
        <v>1.59464639461333</v>
      </c>
      <c r="M139">
        <v>0.25176191833524902</v>
      </c>
      <c r="N139">
        <v>8238</v>
      </c>
      <c r="R139">
        <v>3429498</v>
      </c>
      <c r="T139">
        <v>4886261</v>
      </c>
    </row>
    <row r="140" spans="1:20" x14ac:dyDescent="0.3">
      <c r="A140" s="1">
        <v>45352</v>
      </c>
      <c r="B140">
        <v>128</v>
      </c>
      <c r="C140">
        <v>1983.1058967746101</v>
      </c>
      <c r="D140">
        <v>5049.04865043482</v>
      </c>
      <c r="E140">
        <v>78</v>
      </c>
      <c r="F140">
        <v>78</v>
      </c>
      <c r="K140">
        <v>0.72267493893255497</v>
      </c>
      <c r="L140">
        <v>1.7432819094991701</v>
      </c>
      <c r="M140">
        <v>0.29360924935814697</v>
      </c>
      <c r="N140">
        <v>7234</v>
      </c>
      <c r="R140">
        <v>2856955</v>
      </c>
      <c r="T140">
        <v>4427768</v>
      </c>
    </row>
    <row r="141" spans="1:20" x14ac:dyDescent="0.3">
      <c r="A141" s="1">
        <v>45353</v>
      </c>
      <c r="B141">
        <v>149</v>
      </c>
      <c r="C141">
        <v>1950.87994852103</v>
      </c>
      <c r="D141">
        <v>5284.9240501348104</v>
      </c>
      <c r="E141">
        <v>62</v>
      </c>
      <c r="F141">
        <v>62</v>
      </c>
      <c r="K141">
        <v>0.56803426525066303</v>
      </c>
      <c r="L141">
        <v>1.79205006922183</v>
      </c>
      <c r="M141">
        <v>0.26098599942946399</v>
      </c>
      <c r="N141">
        <v>8020</v>
      </c>
      <c r="R141">
        <v>2601769</v>
      </c>
      <c r="T141">
        <v>4122879</v>
      </c>
    </row>
    <row r="142" spans="1:20" x14ac:dyDescent="0.3">
      <c r="A142" s="1">
        <v>45354</v>
      </c>
      <c r="B142">
        <v>27</v>
      </c>
      <c r="C142">
        <v>1682.0651601649299</v>
      </c>
      <c r="D142">
        <v>304.43647350567699</v>
      </c>
      <c r="E142">
        <v>21</v>
      </c>
      <c r="F142">
        <v>21</v>
      </c>
      <c r="K142">
        <v>0.58910191395587497</v>
      </c>
      <c r="L142">
        <v>1.5635745571146999</v>
      </c>
      <c r="M142">
        <v>0.25011158278656997</v>
      </c>
      <c r="N142">
        <v>725</v>
      </c>
      <c r="R142">
        <v>1330722</v>
      </c>
      <c r="T142">
        <v>662223</v>
      </c>
    </row>
    <row r="143" spans="1:20" x14ac:dyDescent="0.3">
      <c r="A143" s="1">
        <v>45355</v>
      </c>
      <c r="B143">
        <v>85</v>
      </c>
      <c r="C143">
        <v>1829.59348544779</v>
      </c>
      <c r="D143">
        <v>2959.6219780139199</v>
      </c>
      <c r="E143">
        <v>33</v>
      </c>
      <c r="F143">
        <v>33</v>
      </c>
      <c r="K143">
        <v>0.633869663968749</v>
      </c>
      <c r="L143">
        <v>1.59512739244142</v>
      </c>
      <c r="M143">
        <v>0.25011158278656997</v>
      </c>
      <c r="N143">
        <v>4503</v>
      </c>
      <c r="R143">
        <v>1664110</v>
      </c>
      <c r="T143">
        <v>2951038</v>
      </c>
    </row>
    <row r="144" spans="1:20" x14ac:dyDescent="0.3">
      <c r="A144" s="1">
        <v>45356</v>
      </c>
      <c r="B144">
        <v>69</v>
      </c>
      <c r="C144">
        <v>1777.8021583745599</v>
      </c>
      <c r="D144">
        <v>1251.34067154901</v>
      </c>
      <c r="E144">
        <v>39</v>
      </c>
      <c r="F144">
        <v>39</v>
      </c>
      <c r="K144">
        <v>0.37398433000970899</v>
      </c>
      <c r="L144">
        <v>1.47021927171339</v>
      </c>
      <c r="M144">
        <v>0.24649990951887901</v>
      </c>
      <c r="N144">
        <v>1958</v>
      </c>
      <c r="R144">
        <v>2307674</v>
      </c>
      <c r="T144">
        <v>1333882</v>
      </c>
    </row>
    <row r="145" spans="1:20" x14ac:dyDescent="0.3">
      <c r="A145" s="1">
        <v>45357</v>
      </c>
      <c r="B145">
        <v>62</v>
      </c>
      <c r="C145">
        <v>1780.0195755510899</v>
      </c>
      <c r="D145">
        <v>902.65429694029694</v>
      </c>
      <c r="E145">
        <v>50</v>
      </c>
      <c r="F145">
        <v>50</v>
      </c>
      <c r="K145">
        <v>0.61058795862958004</v>
      </c>
      <c r="L145">
        <v>1.7439898241244101</v>
      </c>
      <c r="M145">
        <v>0.28273483271525301</v>
      </c>
      <c r="N145">
        <v>1552</v>
      </c>
      <c r="R145">
        <v>2888311</v>
      </c>
      <c r="T145">
        <v>752396</v>
      </c>
    </row>
    <row r="146" spans="1:20" x14ac:dyDescent="0.3">
      <c r="A146" s="1">
        <v>45358</v>
      </c>
      <c r="B146">
        <v>74</v>
      </c>
      <c r="C146">
        <v>1777.5989177050001</v>
      </c>
      <c r="D146">
        <v>3524.25486326497</v>
      </c>
      <c r="E146">
        <v>27</v>
      </c>
      <c r="F146">
        <v>27</v>
      </c>
      <c r="K146">
        <v>0.63771116844499998</v>
      </c>
      <c r="L146">
        <v>1.65158994920492</v>
      </c>
      <c r="M146">
        <v>0.29575528962820502</v>
      </c>
      <c r="N146">
        <v>5189</v>
      </c>
      <c r="R146">
        <v>669989</v>
      </c>
      <c r="T146">
        <v>3082126</v>
      </c>
    </row>
    <row r="147" spans="1:20" x14ac:dyDescent="0.3">
      <c r="A147" s="1">
        <v>45359</v>
      </c>
      <c r="B147">
        <v>166</v>
      </c>
      <c r="C147">
        <v>2132.7958570012302</v>
      </c>
      <c r="D147">
        <v>8911.0451292308408</v>
      </c>
      <c r="E147">
        <v>100</v>
      </c>
      <c r="F147">
        <v>100</v>
      </c>
      <c r="K147">
        <v>0.62186981756871496</v>
      </c>
      <c r="L147">
        <v>1.61603654482396</v>
      </c>
      <c r="M147">
        <v>0.26719719262751901</v>
      </c>
      <c r="N147">
        <v>12841</v>
      </c>
      <c r="R147">
        <v>1717595</v>
      </c>
      <c r="T147">
        <v>8330794</v>
      </c>
    </row>
    <row r="148" spans="1:20" x14ac:dyDescent="0.3">
      <c r="A148" s="1">
        <v>45360</v>
      </c>
      <c r="C148">
        <v>1570.6791328500001</v>
      </c>
      <c r="D148">
        <v>40.452829911566901</v>
      </c>
      <c r="K148">
        <v>0.375590709615859</v>
      </c>
      <c r="L148">
        <v>0.41447684252045702</v>
      </c>
      <c r="M148">
        <v>0.33555041130243701</v>
      </c>
      <c r="N148">
        <v>167</v>
      </c>
      <c r="T148">
        <v>88389</v>
      </c>
    </row>
    <row r="149" spans="1:20" x14ac:dyDescent="0.3">
      <c r="A149" s="1">
        <v>45361</v>
      </c>
      <c r="B149">
        <v>17</v>
      </c>
      <c r="C149">
        <v>1590.87380321052</v>
      </c>
      <c r="D149">
        <v>575.54772763107496</v>
      </c>
      <c r="E149">
        <v>1</v>
      </c>
      <c r="F149">
        <v>1</v>
      </c>
      <c r="K149">
        <v>0.358644157276722</v>
      </c>
      <c r="L149">
        <v>1.3032086604397899</v>
      </c>
      <c r="M149">
        <v>0.29360924935814697</v>
      </c>
      <c r="N149">
        <v>1172</v>
      </c>
      <c r="T149">
        <v>450515</v>
      </c>
    </row>
    <row r="150" spans="1:20" x14ac:dyDescent="0.3">
      <c r="A150" s="1">
        <v>45362</v>
      </c>
      <c r="B150">
        <v>137</v>
      </c>
      <c r="C150">
        <v>1968.17897839688</v>
      </c>
      <c r="D150">
        <v>6457.5341438557398</v>
      </c>
      <c r="E150">
        <v>33</v>
      </c>
      <c r="F150">
        <v>33</v>
      </c>
      <c r="K150">
        <v>0.59272366112666897</v>
      </c>
      <c r="L150">
        <v>1.6473765598507399</v>
      </c>
      <c r="M150">
        <v>0.25011158278656997</v>
      </c>
      <c r="N150">
        <v>9730</v>
      </c>
      <c r="R150">
        <v>778317</v>
      </c>
      <c r="T150">
        <v>6383693</v>
      </c>
    </row>
    <row r="151" spans="1:20" x14ac:dyDescent="0.3">
      <c r="A151" s="1">
        <v>45363</v>
      </c>
      <c r="B151">
        <v>56</v>
      </c>
      <c r="C151">
        <v>1728.9716821884001</v>
      </c>
      <c r="D151">
        <v>2022.7437783681501</v>
      </c>
      <c r="E151">
        <v>18</v>
      </c>
      <c r="F151">
        <v>18</v>
      </c>
      <c r="K151">
        <v>0.75782672668447604</v>
      </c>
      <c r="L151">
        <v>1.5682612110904</v>
      </c>
      <c r="M151">
        <v>0.315358082643936</v>
      </c>
      <c r="N151">
        <v>3214</v>
      </c>
      <c r="R151">
        <v>855808</v>
      </c>
      <c r="T151">
        <v>2011374</v>
      </c>
    </row>
    <row r="152" spans="1:20" x14ac:dyDescent="0.3">
      <c r="A152" s="1">
        <v>45364</v>
      </c>
      <c r="B152">
        <v>82</v>
      </c>
      <c r="C152">
        <v>1759.7279150136601</v>
      </c>
      <c r="D152">
        <v>3656.72751492835</v>
      </c>
      <c r="E152">
        <v>24</v>
      </c>
      <c r="F152">
        <v>24</v>
      </c>
      <c r="K152">
        <v>0.61009502633444801</v>
      </c>
      <c r="L152">
        <v>1.8420345372073701</v>
      </c>
      <c r="M152">
        <v>0.27385344317288302</v>
      </c>
      <c r="N152">
        <v>5485</v>
      </c>
      <c r="R152">
        <v>771151</v>
      </c>
      <c r="T152">
        <v>2653451</v>
      </c>
    </row>
    <row r="153" spans="1:20" x14ac:dyDescent="0.3">
      <c r="A153" s="1">
        <v>45365</v>
      </c>
      <c r="B153">
        <v>63</v>
      </c>
      <c r="C153">
        <v>1759.5657827463499</v>
      </c>
      <c r="D153">
        <v>1491.5478499915</v>
      </c>
      <c r="E153">
        <v>35</v>
      </c>
      <c r="F153">
        <v>35</v>
      </c>
      <c r="K153">
        <v>0.55068128431422303</v>
      </c>
      <c r="L153">
        <v>1.4331658724507499</v>
      </c>
      <c r="M153">
        <v>0.26098599942946399</v>
      </c>
      <c r="N153">
        <v>2263</v>
      </c>
      <c r="R153">
        <v>1932369</v>
      </c>
      <c r="T153">
        <v>1408347</v>
      </c>
    </row>
    <row r="154" spans="1:20" x14ac:dyDescent="0.3">
      <c r="A154" s="1">
        <v>45366</v>
      </c>
      <c r="C154">
        <v>1565.75</v>
      </c>
      <c r="N154">
        <v>48</v>
      </c>
    </row>
    <row r="155" spans="1:20" x14ac:dyDescent="0.3">
      <c r="A155" s="1">
        <v>45367</v>
      </c>
      <c r="B155">
        <v>131</v>
      </c>
      <c r="C155">
        <v>1987.5666719933499</v>
      </c>
      <c r="D155">
        <v>6259.4946061375804</v>
      </c>
      <c r="E155">
        <v>69</v>
      </c>
      <c r="F155">
        <v>69</v>
      </c>
      <c r="K155">
        <v>0.75092242022712496</v>
      </c>
      <c r="L155">
        <v>1.6170565803788799</v>
      </c>
      <c r="M155">
        <v>0.256866709120954</v>
      </c>
      <c r="N155">
        <v>9146</v>
      </c>
      <c r="R155">
        <v>1622908</v>
      </c>
      <c r="T155">
        <v>5827861</v>
      </c>
    </row>
    <row r="156" spans="1:20" x14ac:dyDescent="0.3">
      <c r="A156" s="1">
        <v>45368</v>
      </c>
      <c r="B156">
        <v>109</v>
      </c>
      <c r="C156">
        <v>1813.8673221521501</v>
      </c>
      <c r="D156">
        <v>4876.6013490237201</v>
      </c>
      <c r="E156">
        <v>64</v>
      </c>
      <c r="F156">
        <v>64</v>
      </c>
      <c r="K156">
        <v>0.49884281417880999</v>
      </c>
      <c r="L156">
        <v>1.8406209720736799</v>
      </c>
      <c r="M156">
        <v>0.25011158278656997</v>
      </c>
      <c r="N156">
        <v>7221</v>
      </c>
      <c r="R156">
        <v>1393792</v>
      </c>
      <c r="T156">
        <v>2958209</v>
      </c>
    </row>
    <row r="157" spans="1:20" x14ac:dyDescent="0.3">
      <c r="A157" s="1">
        <v>45369</v>
      </c>
      <c r="B157">
        <v>70</v>
      </c>
      <c r="C157">
        <v>1829.9042118231</v>
      </c>
      <c r="D157">
        <v>3765.0498611333401</v>
      </c>
      <c r="E157">
        <v>37</v>
      </c>
      <c r="F157">
        <v>37</v>
      </c>
      <c r="K157">
        <v>0.49206216206139503</v>
      </c>
      <c r="L157">
        <v>1.52633407852519</v>
      </c>
      <c r="M157">
        <v>0.25011158278656997</v>
      </c>
      <c r="N157">
        <v>5615</v>
      </c>
      <c r="R157">
        <v>591380</v>
      </c>
      <c r="T157">
        <v>4104147</v>
      </c>
    </row>
    <row r="158" spans="1:20" x14ac:dyDescent="0.3">
      <c r="A158" s="1">
        <v>45370</v>
      </c>
      <c r="B158">
        <v>74</v>
      </c>
      <c r="C158">
        <v>1823.9836912717101</v>
      </c>
      <c r="D158">
        <v>3216.2762954393002</v>
      </c>
      <c r="E158">
        <v>44</v>
      </c>
      <c r="F158">
        <v>44</v>
      </c>
      <c r="K158">
        <v>0.504010240803756</v>
      </c>
      <c r="L158">
        <v>1.8836183849171799</v>
      </c>
      <c r="M158">
        <v>0.25011158278656997</v>
      </c>
      <c r="N158">
        <v>4634</v>
      </c>
      <c r="R158">
        <v>1513916</v>
      </c>
      <c r="T158">
        <v>3011114</v>
      </c>
    </row>
    <row r="159" spans="1:20" x14ac:dyDescent="0.3">
      <c r="A159" s="1">
        <v>45371</v>
      </c>
      <c r="B159">
        <v>36</v>
      </c>
      <c r="C159">
        <v>1678.1587847011599</v>
      </c>
      <c r="D159">
        <v>450.22603489849399</v>
      </c>
      <c r="E159">
        <v>24</v>
      </c>
      <c r="F159">
        <v>24</v>
      </c>
      <c r="K159">
        <v>0.43591328233084498</v>
      </c>
      <c r="L159">
        <v>1.2117645495079901</v>
      </c>
      <c r="M159">
        <v>0.27910747799510999</v>
      </c>
      <c r="N159">
        <v>776</v>
      </c>
      <c r="R159">
        <v>1596201</v>
      </c>
      <c r="T159">
        <v>308183</v>
      </c>
    </row>
    <row r="160" spans="1:20" x14ac:dyDescent="0.3">
      <c r="A160" s="1">
        <v>45372</v>
      </c>
      <c r="B160">
        <v>70</v>
      </c>
      <c r="C160">
        <v>1794.0496118714</v>
      </c>
      <c r="D160">
        <v>3670.4053115537699</v>
      </c>
      <c r="E160">
        <v>22</v>
      </c>
      <c r="F160">
        <v>22</v>
      </c>
      <c r="K160">
        <v>0.37205597246988198</v>
      </c>
      <c r="L160">
        <v>1.4558545513116301</v>
      </c>
      <c r="M160">
        <v>0.25011158278656997</v>
      </c>
      <c r="N160">
        <v>5483</v>
      </c>
      <c r="T160">
        <v>4093827</v>
      </c>
    </row>
    <row r="161" spans="1:21" x14ac:dyDescent="0.3">
      <c r="A161" s="1">
        <v>45373</v>
      </c>
      <c r="B161">
        <v>111</v>
      </c>
      <c r="C161">
        <v>1846.25297878735</v>
      </c>
      <c r="D161">
        <v>5855.8187567600298</v>
      </c>
      <c r="E161">
        <v>25</v>
      </c>
      <c r="F161">
        <v>25</v>
      </c>
      <c r="K161">
        <v>0.56424506418332698</v>
      </c>
      <c r="L161">
        <v>1.60629718994143</v>
      </c>
      <c r="M161">
        <v>0.25011158278656997</v>
      </c>
      <c r="N161">
        <v>8958</v>
      </c>
      <c r="T161">
        <v>4797665</v>
      </c>
      <c r="U161">
        <v>101422</v>
      </c>
    </row>
    <row r="162" spans="1:21" x14ac:dyDescent="0.3">
      <c r="A162" s="1">
        <v>45374</v>
      </c>
      <c r="B162">
        <v>121</v>
      </c>
      <c r="C162">
        <v>1889.0073175838099</v>
      </c>
      <c r="D162">
        <v>5126.3332078742997</v>
      </c>
      <c r="E162">
        <v>19</v>
      </c>
      <c r="F162">
        <v>19</v>
      </c>
      <c r="K162">
        <v>0.45863054936922498</v>
      </c>
      <c r="L162">
        <v>1.47382080026692</v>
      </c>
      <c r="M162">
        <v>0.25011158278656997</v>
      </c>
      <c r="N162">
        <v>7938</v>
      </c>
      <c r="T162">
        <v>5796593</v>
      </c>
    </row>
    <row r="163" spans="1:21" x14ac:dyDescent="0.3">
      <c r="A163" s="1">
        <v>45375</v>
      </c>
      <c r="B163">
        <v>139</v>
      </c>
      <c r="C163">
        <v>1807.57074061556</v>
      </c>
      <c r="D163">
        <v>4734.4127554066699</v>
      </c>
      <c r="E163">
        <v>27</v>
      </c>
      <c r="F163">
        <v>27</v>
      </c>
      <c r="K163">
        <v>0.62968417998110104</v>
      </c>
      <c r="L163">
        <v>2.0005791572073002</v>
      </c>
      <c r="M163">
        <v>0.25039043860663202</v>
      </c>
      <c r="N163">
        <v>7426</v>
      </c>
      <c r="R163">
        <v>1180589</v>
      </c>
      <c r="T163">
        <v>3060750</v>
      </c>
    </row>
    <row r="164" spans="1:21" x14ac:dyDescent="0.3">
      <c r="A164" s="1">
        <v>45376</v>
      </c>
      <c r="B164">
        <v>91</v>
      </c>
      <c r="C164">
        <v>1757.4230907799799</v>
      </c>
      <c r="D164">
        <v>4315.6812755519604</v>
      </c>
      <c r="E164">
        <v>22</v>
      </c>
      <c r="F164">
        <v>22</v>
      </c>
      <c r="K164">
        <v>0.39279579683919402</v>
      </c>
      <c r="L164">
        <v>1.52470437484521</v>
      </c>
      <c r="M164">
        <v>0.25011158278656997</v>
      </c>
      <c r="N164">
        <v>6658</v>
      </c>
      <c r="T164">
        <v>3437049</v>
      </c>
    </row>
    <row r="165" spans="1:21" x14ac:dyDescent="0.3">
      <c r="A165" s="1">
        <v>45377</v>
      </c>
      <c r="B165">
        <v>112</v>
      </c>
      <c r="C165">
        <v>1672.8812301452299</v>
      </c>
      <c r="D165">
        <v>4404.27676678014</v>
      </c>
      <c r="E165">
        <v>2</v>
      </c>
      <c r="F165">
        <v>2</v>
      </c>
      <c r="K165">
        <v>0.45518855368781402</v>
      </c>
      <c r="L165">
        <v>1.4374392752776499</v>
      </c>
      <c r="M165">
        <v>0.25011158278656997</v>
      </c>
      <c r="N165">
        <v>7122</v>
      </c>
      <c r="T165">
        <v>1730186</v>
      </c>
      <c r="U165">
        <v>83347</v>
      </c>
    </row>
    <row r="166" spans="1:21" x14ac:dyDescent="0.3">
      <c r="A166" s="1">
        <v>45378</v>
      </c>
      <c r="B166">
        <v>64</v>
      </c>
      <c r="C166">
        <v>1715.1011619831099</v>
      </c>
      <c r="D166">
        <v>2679.8083238980998</v>
      </c>
      <c r="E166">
        <v>6</v>
      </c>
      <c r="F166">
        <v>6</v>
      </c>
      <c r="K166">
        <v>0.70221254133041</v>
      </c>
      <c r="L166">
        <v>1.52686302191458</v>
      </c>
      <c r="M166">
        <v>0.26098599942946399</v>
      </c>
      <c r="N166">
        <v>4163</v>
      </c>
      <c r="T166">
        <v>2678139</v>
      </c>
    </row>
    <row r="167" spans="1:21" x14ac:dyDescent="0.3">
      <c r="A167" s="1">
        <v>45379</v>
      </c>
      <c r="B167">
        <v>104</v>
      </c>
      <c r="C167">
        <v>1872.6756424647899</v>
      </c>
      <c r="D167">
        <v>4798.4851120466901</v>
      </c>
      <c r="E167">
        <v>24</v>
      </c>
      <c r="F167">
        <v>24</v>
      </c>
      <c r="K167">
        <v>0.50378486269853595</v>
      </c>
      <c r="L167">
        <v>1.4138008911842499</v>
      </c>
      <c r="M167">
        <v>0.271860416072358</v>
      </c>
      <c r="N167">
        <v>7275</v>
      </c>
      <c r="T167">
        <v>5503738</v>
      </c>
    </row>
    <row r="168" spans="1:21" x14ac:dyDescent="0.3">
      <c r="A168" s="1">
        <v>45380</v>
      </c>
      <c r="B168">
        <v>29</v>
      </c>
      <c r="C168">
        <v>1612.4930448503301</v>
      </c>
      <c r="D168">
        <v>1319.82978762836</v>
      </c>
      <c r="K168">
        <v>0.326405415251249</v>
      </c>
      <c r="L168">
        <v>1.0301217159234299</v>
      </c>
      <c r="M168">
        <v>0.25011158278656997</v>
      </c>
      <c r="N168">
        <v>2272</v>
      </c>
      <c r="T168">
        <v>838187</v>
      </c>
    </row>
    <row r="169" spans="1:21" x14ac:dyDescent="0.3">
      <c r="A169" s="1">
        <v>45381</v>
      </c>
      <c r="B169">
        <v>143</v>
      </c>
      <c r="C169">
        <v>2022.4388479008101</v>
      </c>
      <c r="D169">
        <v>7981.6366684866898</v>
      </c>
      <c r="E169">
        <v>45</v>
      </c>
      <c r="F169">
        <v>45</v>
      </c>
      <c r="K169">
        <v>0.45259431454134202</v>
      </c>
      <c r="L169">
        <v>1.4903987264051799</v>
      </c>
      <c r="M169">
        <v>0.258741492548903</v>
      </c>
      <c r="N169">
        <v>12007</v>
      </c>
      <c r="T169">
        <v>8189265</v>
      </c>
    </row>
    <row r="170" spans="1:21" x14ac:dyDescent="0.3">
      <c r="A170" s="1">
        <v>45382</v>
      </c>
      <c r="B170">
        <v>43</v>
      </c>
      <c r="C170">
        <v>1660.3552234143499</v>
      </c>
      <c r="D170">
        <v>2068.9095739945401</v>
      </c>
      <c r="E170">
        <v>8</v>
      </c>
      <c r="F170">
        <v>8</v>
      </c>
      <c r="K170">
        <v>0.39544008479742898</v>
      </c>
      <c r="L170">
        <v>1.7290868586117001</v>
      </c>
      <c r="M170">
        <v>0.26970504912142801</v>
      </c>
      <c r="N170">
        <v>3070</v>
      </c>
      <c r="T170">
        <v>1696444</v>
      </c>
    </row>
    <row r="171" spans="1:21" x14ac:dyDescent="0.3">
      <c r="A171" s="1">
        <v>45383</v>
      </c>
      <c r="B171">
        <v>163</v>
      </c>
      <c r="C171">
        <v>2035.1266850065299</v>
      </c>
      <c r="D171">
        <v>5892.18855232643</v>
      </c>
      <c r="E171">
        <v>67</v>
      </c>
      <c r="F171">
        <v>67</v>
      </c>
      <c r="K171">
        <v>0.54556009669096905</v>
      </c>
      <c r="L171">
        <v>1.76059628710148</v>
      </c>
      <c r="M171">
        <v>0.25011158278656997</v>
      </c>
      <c r="N171">
        <v>8931</v>
      </c>
      <c r="R171">
        <v>2734121</v>
      </c>
      <c r="T171">
        <v>5251945</v>
      </c>
      <c r="U171">
        <v>101582</v>
      </c>
    </row>
    <row r="172" spans="1:21" x14ac:dyDescent="0.3">
      <c r="A172" s="1">
        <v>45384</v>
      </c>
      <c r="B172">
        <v>98</v>
      </c>
      <c r="C172">
        <v>1953.53509749058</v>
      </c>
      <c r="D172">
        <v>3766.55132551212</v>
      </c>
      <c r="E172">
        <v>35</v>
      </c>
      <c r="F172">
        <v>35</v>
      </c>
      <c r="K172">
        <v>0.48085508559906198</v>
      </c>
      <c r="L172">
        <v>1.5195432577674499</v>
      </c>
      <c r="M172">
        <v>0.271860416072358</v>
      </c>
      <c r="N172">
        <v>5958</v>
      </c>
      <c r="R172">
        <v>1429863</v>
      </c>
      <c r="T172">
        <v>5424118</v>
      </c>
    </row>
    <row r="173" spans="1:21" x14ac:dyDescent="0.3">
      <c r="A173" s="1">
        <v>45385</v>
      </c>
      <c r="B173">
        <v>100</v>
      </c>
      <c r="C173">
        <v>1947.78442956653</v>
      </c>
      <c r="D173">
        <v>4259.5833151839797</v>
      </c>
      <c r="E173">
        <v>49</v>
      </c>
      <c r="F173">
        <v>49</v>
      </c>
      <c r="K173">
        <v>0.72238850809571797</v>
      </c>
      <c r="L173">
        <v>1.6355298289058799</v>
      </c>
      <c r="M173">
        <v>0.25011158278656997</v>
      </c>
      <c r="N173">
        <v>6294</v>
      </c>
      <c r="R173">
        <v>1667426</v>
      </c>
      <c r="T173">
        <v>5066869</v>
      </c>
    </row>
    <row r="174" spans="1:21" x14ac:dyDescent="0.3">
      <c r="A174" s="1">
        <v>45386</v>
      </c>
      <c r="B174">
        <v>88</v>
      </c>
      <c r="C174">
        <v>1832.37786353008</v>
      </c>
      <c r="D174">
        <v>2709.4588354543198</v>
      </c>
      <c r="E174">
        <v>41</v>
      </c>
      <c r="F174">
        <v>41</v>
      </c>
      <c r="K174">
        <v>0.75913871840907199</v>
      </c>
      <c r="L174">
        <v>1.7193794199366601</v>
      </c>
      <c r="M174">
        <v>0.25011158278656997</v>
      </c>
      <c r="N174">
        <v>4065</v>
      </c>
      <c r="R174">
        <v>2205006</v>
      </c>
      <c r="T174">
        <v>2419700</v>
      </c>
    </row>
    <row r="175" spans="1:21" x14ac:dyDescent="0.3">
      <c r="A175" s="1">
        <v>45387</v>
      </c>
      <c r="B175">
        <v>140</v>
      </c>
      <c r="C175">
        <v>2019.3594531026899</v>
      </c>
      <c r="D175">
        <v>7197.1960725742902</v>
      </c>
      <c r="E175">
        <v>79</v>
      </c>
      <c r="F175">
        <v>79</v>
      </c>
      <c r="K175">
        <v>0.83141630063048999</v>
      </c>
      <c r="L175">
        <v>2.2357109077817698</v>
      </c>
      <c r="M175">
        <v>0.260047105367822</v>
      </c>
      <c r="N175">
        <v>10444</v>
      </c>
      <c r="R175">
        <v>1794776</v>
      </c>
      <c r="T175">
        <v>6214111</v>
      </c>
    </row>
    <row r="176" spans="1:21" x14ac:dyDescent="0.3">
      <c r="A176" s="1">
        <v>45388</v>
      </c>
      <c r="B176">
        <v>113</v>
      </c>
      <c r="C176">
        <v>1975.46533615044</v>
      </c>
      <c r="D176">
        <v>4396.5424257284503</v>
      </c>
      <c r="E176">
        <v>58</v>
      </c>
      <c r="F176">
        <v>58</v>
      </c>
      <c r="K176">
        <v>0.71983134870399701</v>
      </c>
      <c r="L176">
        <v>1.55200871195373</v>
      </c>
      <c r="M176">
        <v>0.25011158278656997</v>
      </c>
      <c r="N176">
        <v>6581</v>
      </c>
      <c r="R176">
        <v>2106133</v>
      </c>
      <c r="T176">
        <v>5093939</v>
      </c>
    </row>
    <row r="177" spans="1:21" x14ac:dyDescent="0.3">
      <c r="A177" s="1">
        <v>45389</v>
      </c>
      <c r="B177">
        <v>90</v>
      </c>
      <c r="C177">
        <v>1799.88642160218</v>
      </c>
      <c r="D177">
        <v>3549.09755266402</v>
      </c>
      <c r="E177">
        <v>29</v>
      </c>
      <c r="F177">
        <v>29</v>
      </c>
      <c r="K177">
        <v>0.52494850896075296</v>
      </c>
      <c r="L177">
        <v>1.60652276665958</v>
      </c>
      <c r="M177">
        <v>0.25011158278656997</v>
      </c>
      <c r="N177">
        <v>5713</v>
      </c>
      <c r="R177">
        <v>1189845</v>
      </c>
      <c r="T177">
        <v>2925674</v>
      </c>
    </row>
    <row r="178" spans="1:21" x14ac:dyDescent="0.3">
      <c r="A178" s="1">
        <v>45390</v>
      </c>
      <c r="B178">
        <v>97</v>
      </c>
      <c r="C178">
        <v>1836.4245200937801</v>
      </c>
      <c r="D178">
        <v>4513.3642328568603</v>
      </c>
      <c r="E178">
        <v>39</v>
      </c>
      <c r="F178">
        <v>39</v>
      </c>
      <c r="K178">
        <v>0.44446678997703098</v>
      </c>
      <c r="L178">
        <v>1.55944042341571</v>
      </c>
      <c r="M178">
        <v>0.25011158278656997</v>
      </c>
      <c r="N178">
        <v>6834</v>
      </c>
      <c r="R178">
        <v>998897</v>
      </c>
      <c r="T178">
        <v>3784936</v>
      </c>
    </row>
    <row r="179" spans="1:21" x14ac:dyDescent="0.3">
      <c r="A179" s="1">
        <v>45391</v>
      </c>
      <c r="B179">
        <v>184</v>
      </c>
      <c r="C179">
        <v>2128.5361014831701</v>
      </c>
      <c r="D179">
        <v>9809.2024040259803</v>
      </c>
      <c r="E179">
        <v>78</v>
      </c>
      <c r="F179">
        <v>78</v>
      </c>
      <c r="K179">
        <v>0.65832720622737995</v>
      </c>
      <c r="L179">
        <v>2.0092536389824001</v>
      </c>
      <c r="M179">
        <v>0.25011158278656997</v>
      </c>
      <c r="N179">
        <v>14103</v>
      </c>
      <c r="R179">
        <v>975911</v>
      </c>
      <c r="T179">
        <v>9047814</v>
      </c>
    </row>
    <row r="180" spans="1:21" x14ac:dyDescent="0.3">
      <c r="A180" s="1">
        <v>45392</v>
      </c>
      <c r="B180">
        <v>142</v>
      </c>
      <c r="C180">
        <v>1950.7333828309399</v>
      </c>
      <c r="D180">
        <v>6447.5038072375601</v>
      </c>
      <c r="E180">
        <v>28</v>
      </c>
      <c r="F180">
        <v>28</v>
      </c>
      <c r="K180">
        <v>0.51585902563916597</v>
      </c>
      <c r="L180">
        <v>1.8371026098894101</v>
      </c>
      <c r="M180">
        <v>0.24885201843049301</v>
      </c>
      <c r="N180">
        <v>9634</v>
      </c>
      <c r="T180">
        <v>6903453</v>
      </c>
    </row>
    <row r="181" spans="1:21" x14ac:dyDescent="0.3">
      <c r="A181" s="1">
        <v>45393</v>
      </c>
      <c r="B181">
        <v>112</v>
      </c>
      <c r="C181">
        <v>1730.26671297441</v>
      </c>
      <c r="D181">
        <v>5949.0666398819503</v>
      </c>
      <c r="E181">
        <v>36</v>
      </c>
      <c r="F181">
        <v>36</v>
      </c>
      <c r="K181">
        <v>0.66832681063363897</v>
      </c>
      <c r="L181">
        <v>1.5917025545377901</v>
      </c>
      <c r="M181">
        <v>0.26942355876926999</v>
      </c>
      <c r="N181">
        <v>8788</v>
      </c>
      <c r="T181">
        <v>2950084</v>
      </c>
    </row>
    <row r="182" spans="1:21" x14ac:dyDescent="0.3">
      <c r="A182" s="1">
        <v>45394</v>
      </c>
      <c r="B182">
        <v>164</v>
      </c>
      <c r="C182">
        <v>1817.84051746154</v>
      </c>
      <c r="D182">
        <v>6844.3681986048095</v>
      </c>
      <c r="E182">
        <v>50</v>
      </c>
      <c r="F182">
        <v>50</v>
      </c>
      <c r="K182">
        <v>0.48674466760232399</v>
      </c>
      <c r="L182">
        <v>1.7230778069608299</v>
      </c>
      <c r="M182">
        <v>0.30448366600104099</v>
      </c>
      <c r="N182">
        <v>10254</v>
      </c>
      <c r="R182">
        <v>1098409</v>
      </c>
      <c r="T182">
        <v>3345437</v>
      </c>
    </row>
    <row r="183" spans="1:21" x14ac:dyDescent="0.3">
      <c r="A183" s="1">
        <v>45395</v>
      </c>
      <c r="B183">
        <v>182</v>
      </c>
      <c r="C183">
        <v>1844.10065600705</v>
      </c>
      <c r="D183">
        <v>6916.3262082812798</v>
      </c>
      <c r="E183">
        <v>39</v>
      </c>
      <c r="F183">
        <v>39</v>
      </c>
      <c r="K183">
        <v>0.45570301048442402</v>
      </c>
      <c r="L183">
        <v>1.5145058658783801</v>
      </c>
      <c r="M183">
        <v>0.25011158278656997</v>
      </c>
      <c r="N183">
        <v>10460</v>
      </c>
      <c r="R183">
        <v>1058574</v>
      </c>
      <c r="T183">
        <v>3858940</v>
      </c>
    </row>
    <row r="184" spans="1:21" x14ac:dyDescent="0.3">
      <c r="A184" s="1">
        <v>45396</v>
      </c>
      <c r="B184">
        <v>191</v>
      </c>
      <c r="C184">
        <v>2040.9425625875299</v>
      </c>
      <c r="D184">
        <v>6829.9714782052297</v>
      </c>
      <c r="E184">
        <v>52</v>
      </c>
      <c r="F184">
        <v>51</v>
      </c>
      <c r="K184">
        <v>0.54782295519271496</v>
      </c>
      <c r="L184">
        <v>1.9649195744654799</v>
      </c>
      <c r="M184">
        <v>0.25011158278656997</v>
      </c>
      <c r="N184">
        <v>10446</v>
      </c>
      <c r="R184">
        <v>2191881</v>
      </c>
      <c r="T184">
        <v>6176340</v>
      </c>
    </row>
    <row r="185" spans="1:21" x14ac:dyDescent="0.3">
      <c r="A185" s="1">
        <v>45397</v>
      </c>
      <c r="B185">
        <v>189</v>
      </c>
      <c r="C185">
        <v>1940.27091678484</v>
      </c>
      <c r="D185">
        <v>8136.7541955991201</v>
      </c>
      <c r="E185">
        <v>23</v>
      </c>
      <c r="F185">
        <v>23</v>
      </c>
      <c r="K185">
        <v>0.481784309845596</v>
      </c>
      <c r="L185">
        <v>1.8349707775834301</v>
      </c>
      <c r="M185">
        <v>0.25011158278656997</v>
      </c>
      <c r="N185">
        <v>12373</v>
      </c>
      <c r="T185">
        <v>6715845</v>
      </c>
    </row>
    <row r="186" spans="1:21" x14ac:dyDescent="0.3">
      <c r="A186" s="1">
        <v>45398</v>
      </c>
      <c r="B186">
        <v>365</v>
      </c>
      <c r="C186">
        <v>2443.7294607139802</v>
      </c>
      <c r="D186">
        <v>16245.395246894201</v>
      </c>
      <c r="E186">
        <v>76</v>
      </c>
      <c r="F186">
        <v>75</v>
      </c>
      <c r="K186">
        <v>0.575144193429724</v>
      </c>
      <c r="L186">
        <v>1.76518949642601</v>
      </c>
      <c r="M186">
        <v>0.25011158278656997</v>
      </c>
      <c r="N186">
        <v>24575</v>
      </c>
      <c r="R186">
        <v>727094</v>
      </c>
      <c r="T186">
        <v>14965979</v>
      </c>
    </row>
    <row r="187" spans="1:21" x14ac:dyDescent="0.3">
      <c r="A187" s="1">
        <v>45399</v>
      </c>
      <c r="B187">
        <v>317</v>
      </c>
      <c r="C187">
        <v>2474.3430017455298</v>
      </c>
      <c r="D187">
        <v>15011.596932539</v>
      </c>
      <c r="E187">
        <v>116</v>
      </c>
      <c r="F187">
        <v>113</v>
      </c>
      <c r="K187">
        <v>0.65635564302087002</v>
      </c>
      <c r="L187">
        <v>1.9072488743132301</v>
      </c>
      <c r="M187">
        <v>0.247287269395779</v>
      </c>
      <c r="N187">
        <v>22429</v>
      </c>
      <c r="R187">
        <v>2835632</v>
      </c>
      <c r="T187">
        <v>13068382</v>
      </c>
      <c r="U187">
        <v>83391</v>
      </c>
    </row>
    <row r="188" spans="1:21" x14ac:dyDescent="0.3">
      <c r="A188" s="1">
        <v>45400</v>
      </c>
      <c r="B188">
        <v>357</v>
      </c>
      <c r="C188">
        <v>2411.8676630059399</v>
      </c>
      <c r="D188">
        <v>16674.695757477199</v>
      </c>
      <c r="E188">
        <v>69</v>
      </c>
      <c r="F188">
        <v>69</v>
      </c>
      <c r="K188">
        <v>0.65616854478086795</v>
      </c>
      <c r="L188">
        <v>1.7423823698268599</v>
      </c>
      <c r="M188">
        <v>0.25011158278656997</v>
      </c>
      <c r="N188">
        <v>24893</v>
      </c>
      <c r="R188">
        <v>537394</v>
      </c>
      <c r="T188">
        <v>14597563</v>
      </c>
    </row>
    <row r="189" spans="1:21" x14ac:dyDescent="0.3">
      <c r="A189" s="1">
        <v>45401</v>
      </c>
      <c r="B189">
        <v>36</v>
      </c>
      <c r="C189">
        <v>1655.0635681235899</v>
      </c>
      <c r="D189">
        <v>2070.74728979061</v>
      </c>
      <c r="E189">
        <v>16</v>
      </c>
      <c r="F189">
        <v>16</v>
      </c>
      <c r="K189">
        <v>0.34896216313702699</v>
      </c>
      <c r="L189">
        <v>1.4373408934060601</v>
      </c>
      <c r="M189">
        <v>0.26225746049381599</v>
      </c>
      <c r="N189">
        <v>3060</v>
      </c>
      <c r="T189">
        <v>1601554</v>
      </c>
    </row>
    <row r="190" spans="1:21" x14ac:dyDescent="0.3">
      <c r="A190" s="1">
        <v>45402</v>
      </c>
      <c r="B190">
        <v>29</v>
      </c>
      <c r="C190">
        <v>1657.6569353223199</v>
      </c>
      <c r="D190">
        <v>1309.7392689123601</v>
      </c>
      <c r="E190">
        <v>1</v>
      </c>
      <c r="F190">
        <v>1</v>
      </c>
      <c r="K190">
        <v>0.497212959256911</v>
      </c>
      <c r="L190">
        <v>1.51035011344736</v>
      </c>
      <c r="M190">
        <v>0.271860416072358</v>
      </c>
      <c r="N190">
        <v>2167</v>
      </c>
      <c r="T190">
        <v>1648060</v>
      </c>
    </row>
    <row r="191" spans="1:21" x14ac:dyDescent="0.3">
      <c r="A191" s="1">
        <v>45403</v>
      </c>
      <c r="B191">
        <v>2</v>
      </c>
      <c r="C191">
        <v>1565.75</v>
      </c>
      <c r="D191">
        <v>130.49299971473201</v>
      </c>
      <c r="K191">
        <v>0.315838981017172</v>
      </c>
      <c r="L191">
        <v>0.32623249242254099</v>
      </c>
      <c r="M191">
        <v>0.271860416072358</v>
      </c>
      <c r="N191">
        <v>282</v>
      </c>
    </row>
    <row r="192" spans="1:21" x14ac:dyDescent="0.3">
      <c r="A192" s="1">
        <v>45404</v>
      </c>
      <c r="B192">
        <v>97</v>
      </c>
      <c r="C192">
        <v>1904.6555375205</v>
      </c>
      <c r="D192">
        <v>5033.5589322153801</v>
      </c>
      <c r="E192">
        <v>44</v>
      </c>
      <c r="F192">
        <v>44</v>
      </c>
      <c r="K192">
        <v>0.624378189633362</v>
      </c>
      <c r="L192">
        <v>1.67586041537987</v>
      </c>
      <c r="M192">
        <v>0.26741072199884403</v>
      </c>
      <c r="N192">
        <v>7428</v>
      </c>
      <c r="R192">
        <v>813710</v>
      </c>
      <c r="T192">
        <v>5206742</v>
      </c>
    </row>
    <row r="193" spans="1:21" x14ac:dyDescent="0.3">
      <c r="A193" s="1">
        <v>45405</v>
      </c>
      <c r="B193">
        <v>141</v>
      </c>
      <c r="C193">
        <v>2019.25591547318</v>
      </c>
      <c r="D193">
        <v>6277.8621878599897</v>
      </c>
      <c r="E193">
        <v>44</v>
      </c>
      <c r="F193">
        <v>44</v>
      </c>
      <c r="K193">
        <v>0.64562753059311795</v>
      </c>
      <c r="L193">
        <v>1.7496536734352</v>
      </c>
      <c r="M193">
        <v>0.245343717096866</v>
      </c>
      <c r="N193">
        <v>9635</v>
      </c>
      <c r="R193">
        <v>1276340</v>
      </c>
      <c r="T193">
        <v>6766845</v>
      </c>
    </row>
    <row r="194" spans="1:21" x14ac:dyDescent="0.3">
      <c r="A194" s="1">
        <v>45406</v>
      </c>
      <c r="B194">
        <v>87</v>
      </c>
      <c r="C194">
        <v>1798.0341412814701</v>
      </c>
      <c r="D194">
        <v>3687.7377873126302</v>
      </c>
      <c r="E194">
        <v>22</v>
      </c>
      <c r="F194">
        <v>22</v>
      </c>
      <c r="K194">
        <v>0.53052359386306502</v>
      </c>
      <c r="L194">
        <v>1.5069277073379601</v>
      </c>
      <c r="M194">
        <v>0.26007648201105998</v>
      </c>
      <c r="N194">
        <v>5579</v>
      </c>
      <c r="R194">
        <v>699051</v>
      </c>
      <c r="T194">
        <v>3417477</v>
      </c>
    </row>
    <row r="195" spans="1:21" x14ac:dyDescent="0.3">
      <c r="A195" s="1">
        <v>45407</v>
      </c>
      <c r="B195">
        <v>95</v>
      </c>
      <c r="C195">
        <v>1850.5960893172401</v>
      </c>
      <c r="D195">
        <v>4428.0109623901799</v>
      </c>
      <c r="E195">
        <v>34</v>
      </c>
      <c r="F195">
        <v>34</v>
      </c>
      <c r="K195">
        <v>0.69147267645036703</v>
      </c>
      <c r="L195">
        <v>1.72188778802534</v>
      </c>
      <c r="M195">
        <v>0.25930887649888701</v>
      </c>
      <c r="N195">
        <v>6592</v>
      </c>
      <c r="R195">
        <v>765913</v>
      </c>
      <c r="T195">
        <v>4288486</v>
      </c>
    </row>
    <row r="196" spans="1:21" x14ac:dyDescent="0.3">
      <c r="A196" s="1">
        <v>45408</v>
      </c>
      <c r="B196">
        <v>65</v>
      </c>
      <c r="C196">
        <v>1727.52643276866</v>
      </c>
      <c r="D196">
        <v>3825.5788220546501</v>
      </c>
      <c r="E196">
        <v>16</v>
      </c>
      <c r="F196">
        <v>16</v>
      </c>
      <c r="K196">
        <v>0.62863600993329105</v>
      </c>
      <c r="L196">
        <v>1.64326090860392</v>
      </c>
      <c r="M196">
        <v>0.26824432791060598</v>
      </c>
      <c r="N196">
        <v>5720</v>
      </c>
      <c r="T196">
        <v>2900946</v>
      </c>
    </row>
    <row r="197" spans="1:21" x14ac:dyDescent="0.3">
      <c r="A197" s="1">
        <v>45409</v>
      </c>
      <c r="B197">
        <v>210</v>
      </c>
      <c r="C197">
        <v>2293.2523037511201</v>
      </c>
      <c r="D197">
        <v>8834.9063836639998</v>
      </c>
      <c r="E197">
        <v>94</v>
      </c>
      <c r="F197">
        <v>94</v>
      </c>
      <c r="K197">
        <v>0.663409260611595</v>
      </c>
      <c r="L197">
        <v>1.67768716984333</v>
      </c>
      <c r="M197">
        <v>0.28961364991487398</v>
      </c>
      <c r="N197">
        <v>13001</v>
      </c>
      <c r="R197">
        <v>2963351</v>
      </c>
      <c r="T197">
        <v>9470062</v>
      </c>
      <c r="U197">
        <v>177015</v>
      </c>
    </row>
    <row r="198" spans="1:21" x14ac:dyDescent="0.3">
      <c r="A198" s="1">
        <v>45410</v>
      </c>
      <c r="B198">
        <v>118</v>
      </c>
      <c r="C198">
        <v>1948.91322133313</v>
      </c>
      <c r="D198">
        <v>3665.9483794623102</v>
      </c>
      <c r="E198">
        <v>60</v>
      </c>
      <c r="F198">
        <v>60</v>
      </c>
      <c r="K198">
        <v>0.53709561725170596</v>
      </c>
      <c r="L198">
        <v>1.60628149893613</v>
      </c>
      <c r="M198">
        <v>0.271860416072358</v>
      </c>
      <c r="N198">
        <v>5477</v>
      </c>
      <c r="R198">
        <v>2821105</v>
      </c>
      <c r="T198">
        <v>3852982</v>
      </c>
    </row>
    <row r="199" spans="1:21" x14ac:dyDescent="0.3">
      <c r="A199" s="1">
        <v>45411</v>
      </c>
      <c r="B199">
        <v>74</v>
      </c>
      <c r="C199">
        <v>1810.02498611435</v>
      </c>
      <c r="D199">
        <v>2864.7928249967599</v>
      </c>
      <c r="E199">
        <v>31</v>
      </c>
      <c r="F199">
        <v>31</v>
      </c>
      <c r="K199">
        <v>0.39594226336872201</v>
      </c>
      <c r="L199">
        <v>1.6355744831052399</v>
      </c>
      <c r="M199">
        <v>0.24347054557348299</v>
      </c>
      <c r="N199">
        <v>4329</v>
      </c>
      <c r="R199">
        <v>1208254</v>
      </c>
      <c r="T199">
        <v>3087784</v>
      </c>
    </row>
    <row r="200" spans="1:21" x14ac:dyDescent="0.3">
      <c r="A200" s="1">
        <v>45412</v>
      </c>
      <c r="B200">
        <v>137</v>
      </c>
      <c r="C200">
        <v>1975.9758196606299</v>
      </c>
      <c r="D200">
        <v>5378.11148452416</v>
      </c>
      <c r="E200">
        <v>45</v>
      </c>
      <c r="F200">
        <v>45</v>
      </c>
      <c r="K200">
        <v>0.53899395865334698</v>
      </c>
      <c r="L200">
        <v>1.5119015668425699</v>
      </c>
      <c r="M200">
        <v>0.247535506215497</v>
      </c>
      <c r="N200">
        <v>8220</v>
      </c>
      <c r="R200">
        <v>1535533</v>
      </c>
      <c r="T200">
        <v>5713483</v>
      </c>
    </row>
    <row r="201" spans="1:21" x14ac:dyDescent="0.3">
      <c r="A201" s="1">
        <v>45413</v>
      </c>
      <c r="B201">
        <v>114</v>
      </c>
      <c r="C201">
        <v>1925.64043423613</v>
      </c>
      <c r="D201">
        <v>4430.6801646837303</v>
      </c>
      <c r="E201">
        <v>47</v>
      </c>
      <c r="F201">
        <v>47</v>
      </c>
      <c r="K201">
        <v>0.52321466934106498</v>
      </c>
      <c r="L201">
        <v>1.9956048243468001</v>
      </c>
      <c r="M201">
        <v>0.26098599942946399</v>
      </c>
      <c r="N201">
        <v>6741</v>
      </c>
      <c r="R201">
        <v>1800474</v>
      </c>
      <c r="T201">
        <v>4527459</v>
      </c>
    </row>
    <row r="202" spans="1:21" x14ac:dyDescent="0.3">
      <c r="A202" s="1">
        <v>45414</v>
      </c>
      <c r="B202">
        <v>65</v>
      </c>
      <c r="C202">
        <v>1742.07090522116</v>
      </c>
      <c r="D202">
        <v>2409.6753306624801</v>
      </c>
      <c r="E202">
        <v>26</v>
      </c>
      <c r="F202">
        <v>26</v>
      </c>
      <c r="K202">
        <v>0.86522341617477805</v>
      </c>
      <c r="L202">
        <v>1.6752564938519201</v>
      </c>
      <c r="M202">
        <v>0.28544209501183998</v>
      </c>
      <c r="N202">
        <v>3698</v>
      </c>
      <c r="R202">
        <v>849148</v>
      </c>
      <c r="T202">
        <v>2253394</v>
      </c>
    </row>
    <row r="203" spans="1:21" x14ac:dyDescent="0.3">
      <c r="A203" s="1">
        <v>45415</v>
      </c>
      <c r="B203">
        <v>97</v>
      </c>
      <c r="C203">
        <v>1934.7338010016999</v>
      </c>
      <c r="D203">
        <v>4125.3945642537301</v>
      </c>
      <c r="E203">
        <v>40</v>
      </c>
      <c r="F203">
        <v>40</v>
      </c>
      <c r="K203">
        <v>0.70306414427542596</v>
      </c>
      <c r="L203">
        <v>1.4861252962606799</v>
      </c>
      <c r="M203">
        <v>0.247952320289062</v>
      </c>
      <c r="N203">
        <v>6362</v>
      </c>
      <c r="R203">
        <v>1584186</v>
      </c>
      <c r="T203">
        <v>4921894</v>
      </c>
    </row>
    <row r="204" spans="1:21" x14ac:dyDescent="0.3">
      <c r="A204" s="1">
        <v>45416</v>
      </c>
      <c r="B204">
        <v>107</v>
      </c>
      <c r="C204">
        <v>1794.2977582020801</v>
      </c>
      <c r="D204">
        <v>4194.9036130470304</v>
      </c>
      <c r="E204">
        <v>46</v>
      </c>
      <c r="F204">
        <v>46</v>
      </c>
      <c r="K204">
        <v>0.56928579071188101</v>
      </c>
      <c r="L204">
        <v>1.6351771549456999</v>
      </c>
      <c r="M204">
        <v>0.26098599942946399</v>
      </c>
      <c r="N204">
        <v>6451</v>
      </c>
      <c r="R204">
        <v>1593104</v>
      </c>
      <c r="T204">
        <v>2394081</v>
      </c>
    </row>
    <row r="205" spans="1:21" x14ac:dyDescent="0.3">
      <c r="A205" s="1">
        <v>45417</v>
      </c>
      <c r="B205">
        <v>7</v>
      </c>
      <c r="C205">
        <v>1592.28099096354</v>
      </c>
      <c r="D205">
        <v>249.894094453712</v>
      </c>
      <c r="K205">
        <v>0.44962574398970601</v>
      </c>
      <c r="L205">
        <v>0.87022994817631605</v>
      </c>
      <c r="M205">
        <v>0.26098599942946399</v>
      </c>
      <c r="N205">
        <v>466</v>
      </c>
      <c r="T205">
        <v>475749</v>
      </c>
    </row>
    <row r="206" spans="1:21" x14ac:dyDescent="0.3">
      <c r="A206" s="1">
        <v>45418</v>
      </c>
      <c r="B206">
        <v>115</v>
      </c>
      <c r="C206">
        <v>1976.7474011833599</v>
      </c>
      <c r="D206">
        <v>4721.5640758719701</v>
      </c>
      <c r="E206">
        <v>43</v>
      </c>
      <c r="F206">
        <v>43</v>
      </c>
      <c r="K206">
        <v>0.66066933232983105</v>
      </c>
      <c r="L206">
        <v>1.57446778756965</v>
      </c>
      <c r="M206">
        <v>0.25011158278656997</v>
      </c>
      <c r="N206">
        <v>7195</v>
      </c>
      <c r="R206">
        <v>1731858</v>
      </c>
      <c r="T206">
        <v>5517303</v>
      </c>
    </row>
    <row r="207" spans="1:21" x14ac:dyDescent="0.3">
      <c r="A207" s="1">
        <v>45419</v>
      </c>
      <c r="B207">
        <v>71</v>
      </c>
      <c r="C207">
        <v>1757.04315437525</v>
      </c>
      <c r="D207">
        <v>2014.1602553663699</v>
      </c>
      <c r="E207">
        <v>28</v>
      </c>
      <c r="F207">
        <v>28</v>
      </c>
      <c r="K207">
        <v>0.56301421532481499</v>
      </c>
      <c r="L207">
        <v>1.4288124701862399</v>
      </c>
      <c r="M207">
        <v>0.28273483271525301</v>
      </c>
      <c r="N207">
        <v>3163</v>
      </c>
      <c r="R207">
        <v>1689798</v>
      </c>
      <c r="T207">
        <v>1622599</v>
      </c>
    </row>
    <row r="208" spans="1:21" x14ac:dyDescent="0.3">
      <c r="A208" s="1">
        <v>45420</v>
      </c>
      <c r="B208">
        <v>175</v>
      </c>
      <c r="C208">
        <v>2118.1132430611601</v>
      </c>
      <c r="D208">
        <v>9279.2129589931392</v>
      </c>
      <c r="E208">
        <v>73</v>
      </c>
      <c r="F208">
        <v>73</v>
      </c>
      <c r="K208">
        <v>0.61025355441409002</v>
      </c>
      <c r="L208">
        <v>1.67662325210327</v>
      </c>
      <c r="M208">
        <v>0.26098599942946399</v>
      </c>
      <c r="N208">
        <v>13426</v>
      </c>
      <c r="R208">
        <v>812334</v>
      </c>
      <c r="T208">
        <v>9035896</v>
      </c>
    </row>
    <row r="209" spans="1:21" x14ac:dyDescent="0.3">
      <c r="A209" s="1">
        <v>45421</v>
      </c>
      <c r="B209">
        <v>82</v>
      </c>
      <c r="C209">
        <v>1804.2173791927801</v>
      </c>
      <c r="D209">
        <v>3708.6522744173799</v>
      </c>
      <c r="E209">
        <v>23</v>
      </c>
      <c r="F209">
        <v>23</v>
      </c>
      <c r="K209">
        <v>0.53114445451265702</v>
      </c>
      <c r="L209">
        <v>1.4859332370471201</v>
      </c>
      <c r="M209">
        <v>0.26098599942946399</v>
      </c>
      <c r="N209">
        <v>5556</v>
      </c>
      <c r="R209">
        <v>664332</v>
      </c>
      <c r="T209">
        <v>3565496</v>
      </c>
    </row>
    <row r="210" spans="1:21" x14ac:dyDescent="0.3">
      <c r="A210" s="1">
        <v>45422</v>
      </c>
      <c r="B210">
        <v>194</v>
      </c>
      <c r="C210">
        <v>2175.2582612528099</v>
      </c>
      <c r="D210">
        <v>6462.2271022087398</v>
      </c>
      <c r="E210">
        <v>93</v>
      </c>
      <c r="F210">
        <v>93</v>
      </c>
      <c r="K210">
        <v>0.50719513128093596</v>
      </c>
      <c r="L210">
        <v>1.7164827747656899</v>
      </c>
      <c r="M210">
        <v>0.25011158278656997</v>
      </c>
      <c r="N210">
        <v>9536</v>
      </c>
      <c r="R210">
        <v>3832563</v>
      </c>
      <c r="T210">
        <v>6829747</v>
      </c>
    </row>
    <row r="211" spans="1:21" x14ac:dyDescent="0.3">
      <c r="A211" s="1">
        <v>45423</v>
      </c>
      <c r="B211">
        <v>5</v>
      </c>
      <c r="C211">
        <v>1618.75443060763</v>
      </c>
      <c r="D211">
        <v>300.266221293667</v>
      </c>
      <c r="K211">
        <v>0.44357523732231302</v>
      </c>
      <c r="L211">
        <v>1.1130081998378101</v>
      </c>
      <c r="M211">
        <v>0.25011158278656997</v>
      </c>
      <c r="N211">
        <v>752</v>
      </c>
      <c r="T211">
        <v>950466</v>
      </c>
    </row>
    <row r="212" spans="1:21" x14ac:dyDescent="0.3">
      <c r="A212" s="1">
        <v>45424</v>
      </c>
      <c r="B212">
        <v>10</v>
      </c>
      <c r="C212">
        <v>1622.0598393344901</v>
      </c>
      <c r="D212">
        <v>702.165952889339</v>
      </c>
      <c r="E212">
        <v>5</v>
      </c>
      <c r="F212">
        <v>5</v>
      </c>
      <c r="K212">
        <v>0.56675829854122906</v>
      </c>
      <c r="L212">
        <v>1.4712873082266</v>
      </c>
      <c r="M212">
        <v>0.26098599942946399</v>
      </c>
      <c r="N212">
        <v>1274</v>
      </c>
      <c r="T212">
        <v>1009738</v>
      </c>
    </row>
    <row r="213" spans="1:21" x14ac:dyDescent="0.3">
      <c r="A213" s="1">
        <v>45425</v>
      </c>
      <c r="B213">
        <v>76</v>
      </c>
      <c r="C213">
        <v>1807.8317859988999</v>
      </c>
      <c r="D213">
        <v>2108.2764857418802</v>
      </c>
      <c r="E213">
        <v>40</v>
      </c>
      <c r="F213">
        <v>40</v>
      </c>
      <c r="K213">
        <v>0.50691333265476402</v>
      </c>
      <c r="L213">
        <v>1.5380634008691401</v>
      </c>
      <c r="M213">
        <v>0.25011158278656997</v>
      </c>
      <c r="N213">
        <v>3473</v>
      </c>
      <c r="R213">
        <v>2159306</v>
      </c>
      <c r="T213">
        <v>2031084</v>
      </c>
    </row>
    <row r="214" spans="1:21" x14ac:dyDescent="0.3">
      <c r="A214" s="1">
        <v>45426</v>
      </c>
      <c r="B214">
        <v>76</v>
      </c>
      <c r="C214">
        <v>1816.4378180424701</v>
      </c>
      <c r="D214">
        <v>2568.5264162061499</v>
      </c>
      <c r="E214">
        <v>26</v>
      </c>
      <c r="F214">
        <v>26</v>
      </c>
      <c r="K214">
        <v>0.44343014953519</v>
      </c>
      <c r="L214">
        <v>1.5059031542306101</v>
      </c>
      <c r="M214">
        <v>0.246634256563009</v>
      </c>
      <c r="N214">
        <v>3968</v>
      </c>
      <c r="R214">
        <v>1092462</v>
      </c>
      <c r="T214">
        <v>3129798</v>
      </c>
      <c r="U214">
        <v>85956</v>
      </c>
    </row>
    <row r="215" spans="1:21" x14ac:dyDescent="0.3">
      <c r="A215" s="1">
        <v>45427</v>
      </c>
      <c r="B215">
        <v>1</v>
      </c>
      <c r="C215">
        <v>1582.4416070585501</v>
      </c>
      <c r="D215">
        <v>117.002837715479</v>
      </c>
      <c r="K215">
        <v>0.43295982493792901</v>
      </c>
      <c r="L215">
        <v>1.5114014499545601</v>
      </c>
      <c r="M215">
        <v>0.26098599942946399</v>
      </c>
      <c r="N215">
        <v>332</v>
      </c>
      <c r="T215">
        <v>299311</v>
      </c>
    </row>
    <row r="216" spans="1:21" x14ac:dyDescent="0.3">
      <c r="A216" s="1">
        <v>45428</v>
      </c>
      <c r="B216">
        <v>4</v>
      </c>
      <c r="C216">
        <v>1585.87834182856</v>
      </c>
      <c r="D216">
        <v>268.18568957344399</v>
      </c>
      <c r="K216">
        <v>0.43924964971817498</v>
      </c>
      <c r="L216">
        <v>1.55900975990566</v>
      </c>
      <c r="M216">
        <v>0.271860416072358</v>
      </c>
      <c r="N216">
        <v>508</v>
      </c>
      <c r="T216">
        <v>360938</v>
      </c>
    </row>
    <row r="217" spans="1:21" x14ac:dyDescent="0.3">
      <c r="A217" s="1">
        <v>45429</v>
      </c>
      <c r="B217">
        <v>94</v>
      </c>
      <c r="C217">
        <v>1878.9882389767399</v>
      </c>
      <c r="D217">
        <v>3294.1835399968299</v>
      </c>
      <c r="E217">
        <v>39</v>
      </c>
      <c r="F217">
        <v>39</v>
      </c>
      <c r="K217">
        <v>0.52229586438740305</v>
      </c>
      <c r="L217">
        <v>1.49327638211817</v>
      </c>
      <c r="M217">
        <v>0.24972079860545601</v>
      </c>
      <c r="N217">
        <v>5282</v>
      </c>
      <c r="R217">
        <v>1706083</v>
      </c>
      <c r="T217">
        <v>3791878</v>
      </c>
    </row>
    <row r="218" spans="1:21" x14ac:dyDescent="0.3">
      <c r="A218" s="1">
        <v>45430</v>
      </c>
      <c r="B218">
        <v>49</v>
      </c>
      <c r="C218">
        <v>1734.14646735923</v>
      </c>
      <c r="D218">
        <v>1917.7948917204701</v>
      </c>
      <c r="E218">
        <v>3</v>
      </c>
      <c r="F218">
        <v>3</v>
      </c>
      <c r="K218">
        <v>0.509318450384453</v>
      </c>
      <c r="L218">
        <v>1.3845803779822501</v>
      </c>
      <c r="M218">
        <v>0.25230067013516999</v>
      </c>
      <c r="N218">
        <v>3003</v>
      </c>
      <c r="T218">
        <v>3019656</v>
      </c>
    </row>
    <row r="219" spans="1:21" x14ac:dyDescent="0.3">
      <c r="A219" s="1">
        <v>45431</v>
      </c>
      <c r="B219">
        <v>5</v>
      </c>
      <c r="C219">
        <v>1580.2779717853</v>
      </c>
      <c r="D219">
        <v>236.929613556677</v>
      </c>
      <c r="E219">
        <v>1</v>
      </c>
      <c r="F219">
        <v>1</v>
      </c>
      <c r="K219">
        <v>0.403382900983485</v>
      </c>
      <c r="L219">
        <v>1.4140218876194399</v>
      </c>
      <c r="M219">
        <v>0.32623246588062499</v>
      </c>
      <c r="N219">
        <v>440</v>
      </c>
      <c r="T219">
        <v>260513</v>
      </c>
    </row>
    <row r="220" spans="1:21" x14ac:dyDescent="0.3">
      <c r="A220" s="1">
        <v>45432</v>
      </c>
      <c r="B220">
        <v>7</v>
      </c>
      <c r="C220">
        <v>1587.0216814814801</v>
      </c>
      <c r="D220">
        <v>484.14221066874597</v>
      </c>
      <c r="E220">
        <v>3</v>
      </c>
      <c r="F220">
        <v>3</v>
      </c>
      <c r="K220">
        <v>0.34091351019400201</v>
      </c>
      <c r="L220">
        <v>1.6182522168498601</v>
      </c>
      <c r="M220">
        <v>0.28110208691967298</v>
      </c>
      <c r="N220">
        <v>838</v>
      </c>
      <c r="T220">
        <v>381440</v>
      </c>
    </row>
    <row r="221" spans="1:21" x14ac:dyDescent="0.3">
      <c r="A221" s="1">
        <v>45433</v>
      </c>
      <c r="B221">
        <v>91</v>
      </c>
      <c r="C221">
        <v>1840.4165015988499</v>
      </c>
      <c r="D221">
        <v>3047.80027861496</v>
      </c>
      <c r="E221">
        <v>43</v>
      </c>
      <c r="F221">
        <v>43</v>
      </c>
      <c r="K221">
        <v>0.47923413763890199</v>
      </c>
      <c r="L221">
        <v>1.5373758815058201</v>
      </c>
      <c r="M221">
        <v>0.25011158278656997</v>
      </c>
      <c r="N221">
        <v>4741</v>
      </c>
      <c r="R221">
        <v>1902317</v>
      </c>
      <c r="T221">
        <v>2890298</v>
      </c>
    </row>
    <row r="222" spans="1:21" x14ac:dyDescent="0.3">
      <c r="A222" s="1">
        <v>45434</v>
      </c>
      <c r="B222">
        <v>1</v>
      </c>
      <c r="C222">
        <v>1574.3299425405</v>
      </c>
      <c r="D222">
        <v>114.18137475039001</v>
      </c>
      <c r="K222">
        <v>0.30587473639040502</v>
      </c>
      <c r="L222">
        <v>0.79168182287853195</v>
      </c>
      <c r="M222">
        <v>0.28273483271525301</v>
      </c>
      <c r="N222">
        <v>243</v>
      </c>
      <c r="T222">
        <v>153854</v>
      </c>
    </row>
    <row r="223" spans="1:21" x14ac:dyDescent="0.3">
      <c r="A223" s="1">
        <v>45435</v>
      </c>
      <c r="B223">
        <v>45</v>
      </c>
      <c r="C223">
        <v>1725.82885804744</v>
      </c>
      <c r="D223">
        <v>1844.8455581723799</v>
      </c>
      <c r="E223">
        <v>7</v>
      </c>
      <c r="F223">
        <v>7</v>
      </c>
      <c r="K223">
        <v>0.64688797753406302</v>
      </c>
      <c r="L223">
        <v>1.58682105773375</v>
      </c>
      <c r="M223">
        <v>0.256301985203019</v>
      </c>
      <c r="N223">
        <v>2989</v>
      </c>
      <c r="R223">
        <v>195768</v>
      </c>
      <c r="T223">
        <v>2661087</v>
      </c>
    </row>
    <row r="224" spans="1:21" x14ac:dyDescent="0.3">
      <c r="A224" s="1">
        <v>45436</v>
      </c>
      <c r="B224">
        <v>3</v>
      </c>
      <c r="C224">
        <v>1575.6054961545101</v>
      </c>
      <c r="D224">
        <v>161.81131964626701</v>
      </c>
      <c r="K224">
        <v>0.27606335136042098</v>
      </c>
      <c r="L224">
        <v>0.45571249926770102</v>
      </c>
      <c r="M224">
        <v>0.25830025708268101</v>
      </c>
      <c r="N224">
        <v>526</v>
      </c>
      <c r="T224">
        <v>176727</v>
      </c>
    </row>
    <row r="225" spans="1:20" x14ac:dyDescent="0.3">
      <c r="A225" s="1">
        <v>45437</v>
      </c>
      <c r="B225">
        <v>4</v>
      </c>
      <c r="C225">
        <v>1575.1804975057801</v>
      </c>
      <c r="D225">
        <v>231.27111334197701</v>
      </c>
      <c r="K225">
        <v>0.37591355314297697</v>
      </c>
      <c r="L225">
        <v>0.85493129238494303</v>
      </c>
      <c r="M225">
        <v>0.25011158278656997</v>
      </c>
      <c r="N225">
        <v>539</v>
      </c>
      <c r="T225">
        <v>169106</v>
      </c>
    </row>
    <row r="226" spans="1:20" x14ac:dyDescent="0.3">
      <c r="A226" s="1">
        <v>45438</v>
      </c>
      <c r="B226">
        <v>73</v>
      </c>
      <c r="C226">
        <v>1820.90028752221</v>
      </c>
      <c r="D226">
        <v>2435.3958228121701</v>
      </c>
      <c r="E226">
        <v>37</v>
      </c>
      <c r="F226">
        <v>37</v>
      </c>
      <c r="K226">
        <v>0.494937038674026</v>
      </c>
      <c r="L226">
        <v>1.9436856696409399</v>
      </c>
      <c r="M226">
        <v>0.26558909782747098</v>
      </c>
      <c r="N226">
        <v>3722</v>
      </c>
      <c r="R226">
        <v>1785141</v>
      </c>
      <c r="T226">
        <v>2665682</v>
      </c>
    </row>
    <row r="227" spans="1:20" x14ac:dyDescent="0.3">
      <c r="A227" s="1">
        <v>45439</v>
      </c>
      <c r="B227">
        <v>28</v>
      </c>
      <c r="C227">
        <v>1659.6828877432899</v>
      </c>
      <c r="D227">
        <v>1495.91724070191</v>
      </c>
      <c r="E227">
        <v>11</v>
      </c>
      <c r="F227">
        <v>11</v>
      </c>
      <c r="K227">
        <v>0.96844816997527305</v>
      </c>
      <c r="L227">
        <v>1.5094304220413799</v>
      </c>
      <c r="M227">
        <v>0.29360924935814697</v>
      </c>
      <c r="N227">
        <v>2167</v>
      </c>
      <c r="T227">
        <v>1684388</v>
      </c>
    </row>
    <row r="228" spans="1:20" x14ac:dyDescent="0.3">
      <c r="A228" s="1">
        <v>45440</v>
      </c>
      <c r="B228">
        <v>2</v>
      </c>
      <c r="C228">
        <v>1568.10692729166</v>
      </c>
      <c r="D228">
        <v>90.040169803165199</v>
      </c>
      <c r="K228">
        <v>0.65180286387120201</v>
      </c>
      <c r="L228">
        <v>0.698513732837305</v>
      </c>
      <c r="M228">
        <v>0.326232490495723</v>
      </c>
      <c r="N228">
        <v>306</v>
      </c>
      <c r="T228">
        <v>42264</v>
      </c>
    </row>
    <row r="229" spans="1:20" x14ac:dyDescent="0.3">
      <c r="A229" s="1">
        <v>45441</v>
      </c>
      <c r="B229">
        <v>201</v>
      </c>
      <c r="C229">
        <v>2151.8562785245899</v>
      </c>
      <c r="D229">
        <v>10895.8571122431</v>
      </c>
      <c r="E229">
        <v>83</v>
      </c>
      <c r="F229">
        <v>83</v>
      </c>
      <c r="K229">
        <v>0.49266968416905899</v>
      </c>
      <c r="L229">
        <v>1.6816229832993099</v>
      </c>
      <c r="M229">
        <v>0.26098599942946399</v>
      </c>
      <c r="N229">
        <v>15760</v>
      </c>
      <c r="R229">
        <v>658830</v>
      </c>
      <c r="T229">
        <v>9804220</v>
      </c>
    </row>
    <row r="230" spans="1:20" x14ac:dyDescent="0.3">
      <c r="A230" s="1">
        <v>45442</v>
      </c>
      <c r="B230">
        <v>34</v>
      </c>
      <c r="C230">
        <v>1671.4823681502901</v>
      </c>
      <c r="D230">
        <v>1919.23288596815</v>
      </c>
      <c r="E230">
        <v>11</v>
      </c>
      <c r="F230">
        <v>11</v>
      </c>
      <c r="K230">
        <v>0.468226670151836</v>
      </c>
      <c r="L230">
        <v>1.6402766432112299</v>
      </c>
      <c r="M230">
        <v>0.25011158278656997</v>
      </c>
      <c r="N230">
        <v>2899</v>
      </c>
      <c r="T230">
        <v>1895974</v>
      </c>
    </row>
    <row r="231" spans="1:20" x14ac:dyDescent="0.3">
      <c r="A231" s="1">
        <v>45443</v>
      </c>
      <c r="B231">
        <v>48</v>
      </c>
      <c r="C231">
        <v>1728.1286361742</v>
      </c>
      <c r="D231">
        <v>3211.7501681745998</v>
      </c>
      <c r="E231">
        <v>27</v>
      </c>
      <c r="F231">
        <v>26</v>
      </c>
      <c r="K231">
        <v>0.47743006106795399</v>
      </c>
      <c r="L231">
        <v>2.3705842958711898</v>
      </c>
      <c r="M231">
        <v>0.25011158278656997</v>
      </c>
      <c r="N231">
        <v>4701</v>
      </c>
      <c r="T231">
        <v>2911745</v>
      </c>
    </row>
    <row r="232" spans="1:20" x14ac:dyDescent="0.3">
      <c r="A232" s="1">
        <v>45444</v>
      </c>
      <c r="B232">
        <v>37</v>
      </c>
      <c r="C232">
        <v>1677.75398633282</v>
      </c>
      <c r="D232">
        <v>1986.9092448171</v>
      </c>
      <c r="E232">
        <v>10</v>
      </c>
      <c r="F232">
        <v>10</v>
      </c>
      <c r="K232">
        <v>0.59905600526890201</v>
      </c>
      <c r="L232">
        <v>1.3990561728194599</v>
      </c>
      <c r="M232">
        <v>0.25328310464576198</v>
      </c>
      <c r="N232">
        <v>3027</v>
      </c>
      <c r="T232">
        <v>2008437</v>
      </c>
    </row>
    <row r="233" spans="1:20" x14ac:dyDescent="0.3">
      <c r="A233" s="1">
        <v>45445</v>
      </c>
      <c r="B233">
        <v>78</v>
      </c>
      <c r="C233">
        <v>1717.36797693983</v>
      </c>
      <c r="D233">
        <v>3404.4717225335999</v>
      </c>
      <c r="E233">
        <v>13</v>
      </c>
      <c r="F233">
        <v>13</v>
      </c>
      <c r="K233">
        <v>0.37419333383953601</v>
      </c>
      <c r="L233">
        <v>1.48191389585051</v>
      </c>
      <c r="M233">
        <v>0.26098599942946399</v>
      </c>
      <c r="N233">
        <v>5179</v>
      </c>
      <c r="T233">
        <v>2718788</v>
      </c>
    </row>
    <row r="234" spans="1:20" x14ac:dyDescent="0.3">
      <c r="A234" s="1">
        <v>45446</v>
      </c>
      <c r="B234">
        <v>134</v>
      </c>
      <c r="C234">
        <v>1967.9743538763801</v>
      </c>
      <c r="D234">
        <v>8064.3137175333504</v>
      </c>
      <c r="E234">
        <v>54</v>
      </c>
      <c r="F234">
        <v>54</v>
      </c>
      <c r="K234">
        <v>0.50105849596157204</v>
      </c>
      <c r="L234">
        <v>1.52733067065256</v>
      </c>
      <c r="M234">
        <v>0.257898543669554</v>
      </c>
      <c r="N234">
        <v>11907</v>
      </c>
      <c r="T234">
        <v>7212616</v>
      </c>
    </row>
    <row r="235" spans="1:20" x14ac:dyDescent="0.3">
      <c r="A235" s="1">
        <v>45447</v>
      </c>
      <c r="B235">
        <v>98</v>
      </c>
      <c r="C235">
        <v>1892.7178761363</v>
      </c>
      <c r="D235">
        <v>4862.3012735564798</v>
      </c>
      <c r="E235">
        <v>26</v>
      </c>
      <c r="F235">
        <v>24</v>
      </c>
      <c r="K235">
        <v>0.66898613833929599</v>
      </c>
      <c r="L235">
        <v>2.05954330097375</v>
      </c>
      <c r="M235">
        <v>0.26098599942946399</v>
      </c>
      <c r="N235">
        <v>7406</v>
      </c>
      <c r="T235">
        <v>5863133</v>
      </c>
    </row>
    <row r="236" spans="1:20" x14ac:dyDescent="0.3">
      <c r="A236" s="1">
        <v>45448</v>
      </c>
      <c r="B236">
        <v>28</v>
      </c>
      <c r="C236">
        <v>1606.44845077788</v>
      </c>
      <c r="D236">
        <v>1635.2883354130699</v>
      </c>
      <c r="E236">
        <v>10</v>
      </c>
      <c r="F236">
        <v>10</v>
      </c>
      <c r="K236">
        <v>0.49812304953321102</v>
      </c>
      <c r="L236">
        <v>1.5227200640316001</v>
      </c>
      <c r="M236">
        <v>0.291106476436435</v>
      </c>
      <c r="N236">
        <v>2460</v>
      </c>
      <c r="T236">
        <v>729798</v>
      </c>
    </row>
    <row r="237" spans="1:20" x14ac:dyDescent="0.3">
      <c r="A237" s="1">
        <v>45449</v>
      </c>
      <c r="B237">
        <v>22</v>
      </c>
      <c r="C237">
        <v>1626.2114348591101</v>
      </c>
      <c r="D237">
        <v>1279.6244643341799</v>
      </c>
      <c r="E237">
        <v>7</v>
      </c>
      <c r="F237">
        <v>7</v>
      </c>
      <c r="K237">
        <v>0.338801661794702</v>
      </c>
      <c r="L237">
        <v>1.4429867907376901</v>
      </c>
      <c r="M237">
        <v>0.25011158278656997</v>
      </c>
      <c r="N237">
        <v>2119</v>
      </c>
      <c r="T237">
        <v>1084184</v>
      </c>
    </row>
    <row r="238" spans="1:20" x14ac:dyDescent="0.3">
      <c r="A238" s="1">
        <v>45450</v>
      </c>
      <c r="B238">
        <v>94</v>
      </c>
      <c r="C238">
        <v>1848.5652219337001</v>
      </c>
      <c r="D238">
        <v>3690.0670232114298</v>
      </c>
      <c r="E238">
        <v>24</v>
      </c>
      <c r="F238">
        <v>24</v>
      </c>
      <c r="K238">
        <v>0.63617737708922895</v>
      </c>
      <c r="L238">
        <v>1.52124393729186</v>
      </c>
      <c r="M238">
        <v>0.25011158278656997</v>
      </c>
      <c r="N238">
        <v>5746</v>
      </c>
      <c r="R238">
        <v>857971</v>
      </c>
      <c r="T238">
        <v>4153590</v>
      </c>
    </row>
    <row r="239" spans="1:20" x14ac:dyDescent="0.3">
      <c r="A239" s="1">
        <v>45451</v>
      </c>
      <c r="B239">
        <v>74</v>
      </c>
      <c r="C239">
        <v>1822.5091109620701</v>
      </c>
      <c r="D239">
        <v>2623.5749052237802</v>
      </c>
      <c r="E239">
        <v>48</v>
      </c>
      <c r="F239">
        <v>48</v>
      </c>
      <c r="K239">
        <v>0.75166672244214805</v>
      </c>
      <c r="L239">
        <v>1.51413104861548</v>
      </c>
      <c r="M239">
        <v>0.28273483271525301</v>
      </c>
      <c r="N239">
        <v>3958</v>
      </c>
      <c r="R239">
        <v>1928467</v>
      </c>
      <c r="T239">
        <v>2541210</v>
      </c>
    </row>
    <row r="240" spans="1:20" x14ac:dyDescent="0.3">
      <c r="A240" s="1">
        <v>45452</v>
      </c>
      <c r="B240">
        <v>12</v>
      </c>
      <c r="C240">
        <v>1605.04213190261</v>
      </c>
      <c r="D240">
        <v>526.20810194382796</v>
      </c>
      <c r="E240">
        <v>1</v>
      </c>
      <c r="F240">
        <v>1</v>
      </c>
      <c r="K240">
        <v>0.373766238368619</v>
      </c>
      <c r="L240">
        <v>1.2804801724712001</v>
      </c>
      <c r="M240">
        <v>0.25011158278656997</v>
      </c>
      <c r="N240">
        <v>915</v>
      </c>
      <c r="T240">
        <v>704580</v>
      </c>
    </row>
    <row r="241" spans="1:20" x14ac:dyDescent="0.3">
      <c r="A241" s="1">
        <v>45453</v>
      </c>
      <c r="B241">
        <v>58</v>
      </c>
      <c r="C241">
        <v>1750.2262486429299</v>
      </c>
      <c r="D241">
        <v>354.71028423309599</v>
      </c>
      <c r="E241">
        <v>49</v>
      </c>
      <c r="F241">
        <v>49</v>
      </c>
      <c r="K241">
        <v>0.34327563837529601</v>
      </c>
      <c r="L241">
        <v>1.25154994882826</v>
      </c>
      <c r="M241">
        <v>0.271860416072358</v>
      </c>
      <c r="N241">
        <v>665</v>
      </c>
      <c r="R241">
        <v>2997528</v>
      </c>
      <c r="T241">
        <v>101435</v>
      </c>
    </row>
    <row r="242" spans="1:20" x14ac:dyDescent="0.3">
      <c r="A242" s="1">
        <v>45454</v>
      </c>
      <c r="B242">
        <v>117</v>
      </c>
      <c r="C242">
        <v>1897.6177865525599</v>
      </c>
      <c r="D242">
        <v>4704.7617032115304</v>
      </c>
      <c r="E242">
        <v>37</v>
      </c>
      <c r="F242">
        <v>37</v>
      </c>
      <c r="K242">
        <v>0.86662332027367694</v>
      </c>
      <c r="L242">
        <v>1.67517452421505</v>
      </c>
      <c r="M242">
        <v>0.249554877157044</v>
      </c>
      <c r="N242">
        <v>7054</v>
      </c>
      <c r="R242">
        <v>1387369</v>
      </c>
      <c r="T242">
        <v>4466862</v>
      </c>
    </row>
    <row r="243" spans="1:20" x14ac:dyDescent="0.3">
      <c r="A243" s="1">
        <v>45455</v>
      </c>
      <c r="C243">
        <v>1565.75</v>
      </c>
      <c r="D243">
        <v>16.9640899629151</v>
      </c>
      <c r="K243">
        <v>0.25011158278656997</v>
      </c>
      <c r="L243">
        <v>0.25011158278656997</v>
      </c>
      <c r="M243">
        <v>0.25011158278656997</v>
      </c>
      <c r="N243">
        <v>88</v>
      </c>
    </row>
    <row r="244" spans="1:20" x14ac:dyDescent="0.3">
      <c r="A244" s="1">
        <v>45456</v>
      </c>
      <c r="B244">
        <v>6</v>
      </c>
      <c r="C244">
        <v>1578.77881297982</v>
      </c>
      <c r="D244">
        <v>262.334027858225</v>
      </c>
      <c r="K244">
        <v>0.99617687982721903</v>
      </c>
      <c r="L244">
        <v>1.3302257453447199</v>
      </c>
      <c r="M244">
        <v>0.49894546447847699</v>
      </c>
      <c r="N244">
        <v>508</v>
      </c>
      <c r="T244">
        <v>233631</v>
      </c>
    </row>
    <row r="245" spans="1:20" x14ac:dyDescent="0.3">
      <c r="A245" s="1">
        <v>45457</v>
      </c>
      <c r="B245">
        <v>67</v>
      </c>
      <c r="C245">
        <v>1700.03577567103</v>
      </c>
      <c r="D245">
        <v>3498.3273786171098</v>
      </c>
      <c r="E245">
        <v>24</v>
      </c>
      <c r="F245">
        <v>24</v>
      </c>
      <c r="K245">
        <v>0.56803579794065395</v>
      </c>
      <c r="L245">
        <v>2.0785304591466902</v>
      </c>
      <c r="M245">
        <v>0.25569052975967199</v>
      </c>
      <c r="N245">
        <v>5059</v>
      </c>
      <c r="T245">
        <v>2395752</v>
      </c>
    </row>
    <row r="246" spans="1:20" x14ac:dyDescent="0.3">
      <c r="A246" s="1">
        <v>45458</v>
      </c>
      <c r="B246">
        <v>80</v>
      </c>
      <c r="C246">
        <v>1786.50974233227</v>
      </c>
      <c r="D246">
        <v>3483.6816506936202</v>
      </c>
      <c r="E246">
        <v>27</v>
      </c>
      <c r="F246">
        <v>27</v>
      </c>
      <c r="K246">
        <v>0.55228609515423999</v>
      </c>
      <c r="L246">
        <v>2.05295284259797</v>
      </c>
      <c r="M246">
        <v>0.24995629124588301</v>
      </c>
      <c r="N246">
        <v>5279</v>
      </c>
      <c r="R246">
        <v>798106</v>
      </c>
      <c r="T246">
        <v>3104863</v>
      </c>
    </row>
    <row r="247" spans="1:20" x14ac:dyDescent="0.3">
      <c r="A247" s="1">
        <v>45459</v>
      </c>
      <c r="B247">
        <v>46</v>
      </c>
      <c r="C247">
        <v>1727.7719130005701</v>
      </c>
      <c r="D247">
        <v>418.49368921828398</v>
      </c>
      <c r="E247">
        <v>38</v>
      </c>
      <c r="F247">
        <v>38</v>
      </c>
      <c r="K247">
        <v>0.43070096781507899</v>
      </c>
      <c r="L247">
        <v>1.65086302357825</v>
      </c>
      <c r="M247">
        <v>0.32623248410219102</v>
      </c>
      <c r="N247">
        <v>755</v>
      </c>
      <c r="R247">
        <v>2322383</v>
      </c>
      <c r="T247">
        <v>421014</v>
      </c>
    </row>
    <row r="248" spans="1:20" x14ac:dyDescent="0.3">
      <c r="A248" s="1">
        <v>45460</v>
      </c>
      <c r="B248">
        <v>6</v>
      </c>
      <c r="C248">
        <v>1593.3542784577501</v>
      </c>
      <c r="D248">
        <v>372.21920192872301</v>
      </c>
      <c r="K248">
        <v>0.90979106511387497</v>
      </c>
      <c r="L248">
        <v>1.44380757271265</v>
      </c>
      <c r="M248">
        <v>0.275232538102889</v>
      </c>
      <c r="N248">
        <v>667</v>
      </c>
      <c r="T248">
        <v>494995</v>
      </c>
    </row>
    <row r="249" spans="1:20" x14ac:dyDescent="0.3">
      <c r="A249" s="1">
        <v>45461</v>
      </c>
      <c r="B249">
        <v>177</v>
      </c>
      <c r="C249">
        <v>2129.3755129456799</v>
      </c>
      <c r="D249">
        <v>4408.8097044691103</v>
      </c>
      <c r="E249">
        <v>108</v>
      </c>
      <c r="F249">
        <v>108</v>
      </c>
      <c r="K249">
        <v>0.57220892764327902</v>
      </c>
      <c r="L249">
        <v>1.49261187370778</v>
      </c>
      <c r="M249">
        <v>0.25908590195577602</v>
      </c>
      <c r="N249">
        <v>6716</v>
      </c>
      <c r="R249">
        <v>5634090</v>
      </c>
      <c r="T249">
        <v>4079849</v>
      </c>
    </row>
    <row r="250" spans="1:20" x14ac:dyDescent="0.3">
      <c r="A250" s="1">
        <v>45462</v>
      </c>
      <c r="B250">
        <v>79</v>
      </c>
      <c r="C250">
        <v>1818.78196546717</v>
      </c>
      <c r="D250">
        <v>2203.0991854932299</v>
      </c>
      <c r="E250">
        <v>48</v>
      </c>
      <c r="F250">
        <v>48</v>
      </c>
      <c r="K250">
        <v>0.50916239858155798</v>
      </c>
      <c r="L250">
        <v>1.49402766228213</v>
      </c>
      <c r="M250">
        <v>0.28273483271525301</v>
      </c>
      <c r="N250">
        <v>3316</v>
      </c>
      <c r="R250">
        <v>2335480</v>
      </c>
      <c r="T250">
        <v>2038977</v>
      </c>
    </row>
    <row r="251" spans="1:20" x14ac:dyDescent="0.3">
      <c r="A251" s="1">
        <v>45463</v>
      </c>
      <c r="B251">
        <v>8</v>
      </c>
      <c r="C251">
        <v>1569.5212286603</v>
      </c>
      <c r="D251">
        <v>234.234934487944</v>
      </c>
      <c r="K251">
        <v>0.40149622365372001</v>
      </c>
      <c r="L251">
        <v>0.57764567916333698</v>
      </c>
      <c r="M251">
        <v>0.32623249540238702</v>
      </c>
      <c r="N251">
        <v>492</v>
      </c>
      <c r="T251">
        <v>67625</v>
      </c>
    </row>
    <row r="252" spans="1:20" x14ac:dyDescent="0.3">
      <c r="A252" s="1">
        <v>45464</v>
      </c>
      <c r="B252">
        <v>15</v>
      </c>
      <c r="C252">
        <v>1643.2844837845801</v>
      </c>
      <c r="D252">
        <v>919.78128330573497</v>
      </c>
      <c r="E252">
        <v>5</v>
      </c>
      <c r="F252">
        <v>5</v>
      </c>
      <c r="K252">
        <v>0.44042975559301001</v>
      </c>
      <c r="L252">
        <v>1.5181906368264</v>
      </c>
      <c r="M252">
        <v>0.25011158278656997</v>
      </c>
      <c r="N252">
        <v>1562</v>
      </c>
      <c r="T252">
        <v>1390336</v>
      </c>
    </row>
    <row r="253" spans="1:20" x14ac:dyDescent="0.3">
      <c r="A253" s="1">
        <v>45465</v>
      </c>
      <c r="B253">
        <v>110</v>
      </c>
      <c r="C253">
        <v>1933.80810768229</v>
      </c>
      <c r="D253">
        <v>840.807716825998</v>
      </c>
      <c r="E253">
        <v>88</v>
      </c>
      <c r="F253">
        <v>88</v>
      </c>
      <c r="K253">
        <v>0.35173457371995098</v>
      </c>
      <c r="L253">
        <v>1.28136667546681</v>
      </c>
      <c r="M253">
        <v>0.271860416072358</v>
      </c>
      <c r="N253">
        <v>1362</v>
      </c>
      <c r="R253">
        <v>5378678</v>
      </c>
      <c r="T253">
        <v>846193</v>
      </c>
    </row>
    <row r="254" spans="1:20" x14ac:dyDescent="0.3">
      <c r="A254" s="1">
        <v>45466</v>
      </c>
      <c r="B254">
        <v>5</v>
      </c>
      <c r="C254">
        <v>1568.54921364294</v>
      </c>
      <c r="D254">
        <v>181.41159711492799</v>
      </c>
      <c r="K254">
        <v>0.30457352817893202</v>
      </c>
      <c r="L254">
        <v>1.04313898668061</v>
      </c>
      <c r="M254">
        <v>0.26098599942946399</v>
      </c>
      <c r="N254">
        <v>384</v>
      </c>
      <c r="T254">
        <v>50195</v>
      </c>
    </row>
    <row r="255" spans="1:20" x14ac:dyDescent="0.3">
      <c r="A255" s="1">
        <v>45467</v>
      </c>
      <c r="B255">
        <v>133</v>
      </c>
      <c r="C255">
        <v>2058.0022179194998</v>
      </c>
      <c r="D255">
        <v>927.44802316463904</v>
      </c>
      <c r="E255">
        <v>111</v>
      </c>
      <c r="F255">
        <v>111</v>
      </c>
      <c r="K255">
        <v>0.41641046715764801</v>
      </c>
      <c r="L255">
        <v>1.10433315288365</v>
      </c>
      <c r="M255">
        <v>0.25011158278656997</v>
      </c>
      <c r="N255">
        <v>1452</v>
      </c>
      <c r="R255">
        <v>6822802</v>
      </c>
      <c r="T255">
        <v>1528390</v>
      </c>
    </row>
    <row r="256" spans="1:20" x14ac:dyDescent="0.3">
      <c r="A256" s="1">
        <v>45468</v>
      </c>
      <c r="B256">
        <v>89</v>
      </c>
      <c r="C256">
        <v>1875.43763860532</v>
      </c>
      <c r="D256">
        <v>1298.0586869214701</v>
      </c>
      <c r="E256">
        <v>66</v>
      </c>
      <c r="F256">
        <v>66</v>
      </c>
      <c r="K256">
        <v>0.43771520956410398</v>
      </c>
      <c r="L256">
        <v>1.4197964795339499</v>
      </c>
      <c r="M256">
        <v>0.27818258447421601</v>
      </c>
      <c r="N256">
        <v>2008</v>
      </c>
      <c r="R256">
        <v>3981273</v>
      </c>
      <c r="T256">
        <v>1294357</v>
      </c>
    </row>
    <row r="257" spans="1:20" x14ac:dyDescent="0.3">
      <c r="A257" s="1">
        <v>45469</v>
      </c>
      <c r="B257">
        <v>111</v>
      </c>
      <c r="C257">
        <v>1920.1228693103401</v>
      </c>
      <c r="D257">
        <v>2426.3194856718101</v>
      </c>
      <c r="E257">
        <v>73</v>
      </c>
      <c r="F257">
        <v>73</v>
      </c>
      <c r="K257">
        <v>0.56151638998212305</v>
      </c>
      <c r="L257">
        <v>1.7201513736927401</v>
      </c>
      <c r="M257">
        <v>0.27631336854930899</v>
      </c>
      <c r="N257">
        <v>3658</v>
      </c>
      <c r="R257">
        <v>4098049</v>
      </c>
      <c r="T257">
        <v>1960547</v>
      </c>
    </row>
    <row r="258" spans="1:20" x14ac:dyDescent="0.3">
      <c r="A258" s="1">
        <v>45470</v>
      </c>
      <c r="B258">
        <v>53</v>
      </c>
      <c r="C258">
        <v>1694.0913055056101</v>
      </c>
      <c r="D258">
        <v>2692.95203377294</v>
      </c>
      <c r="E258">
        <v>10</v>
      </c>
      <c r="F258">
        <v>10</v>
      </c>
      <c r="K258">
        <v>0.372207335716087</v>
      </c>
      <c r="L258">
        <v>1.4431233662093399</v>
      </c>
      <c r="M258">
        <v>0.25011158278656997</v>
      </c>
      <c r="N258">
        <v>4313</v>
      </c>
      <c r="T258">
        <v>2301394</v>
      </c>
    </row>
    <row r="259" spans="1:20" x14ac:dyDescent="0.3">
      <c r="A259" s="1">
        <v>45471</v>
      </c>
      <c r="B259">
        <v>138</v>
      </c>
      <c r="C259">
        <v>2001.96364351069</v>
      </c>
      <c r="D259">
        <v>7100.21299763775</v>
      </c>
      <c r="E259">
        <v>31</v>
      </c>
      <c r="F259">
        <v>31</v>
      </c>
      <c r="K259">
        <v>0.61912938533199202</v>
      </c>
      <c r="L259">
        <v>1.5523907215610799</v>
      </c>
      <c r="M259">
        <v>0.25011158278656997</v>
      </c>
      <c r="N259">
        <v>10850</v>
      </c>
      <c r="T259">
        <v>7822107</v>
      </c>
    </row>
    <row r="260" spans="1:20" x14ac:dyDescent="0.3">
      <c r="A260" s="1">
        <v>45472</v>
      </c>
      <c r="B260">
        <v>103</v>
      </c>
      <c r="C260">
        <v>1786.76516592897</v>
      </c>
      <c r="D260">
        <v>4675.5164190178202</v>
      </c>
      <c r="E260">
        <v>15</v>
      </c>
      <c r="F260">
        <v>15</v>
      </c>
      <c r="K260">
        <v>0.51757577668002097</v>
      </c>
      <c r="L260">
        <v>1.49346591161522</v>
      </c>
      <c r="M260">
        <v>0.25011158278656997</v>
      </c>
      <c r="N260">
        <v>7301</v>
      </c>
      <c r="T260">
        <v>3963205</v>
      </c>
    </row>
    <row r="261" spans="1:20" x14ac:dyDescent="0.3">
      <c r="A261" s="1">
        <v>45473</v>
      </c>
      <c r="B261">
        <v>51</v>
      </c>
      <c r="C261">
        <v>1718.3295295819801</v>
      </c>
      <c r="D261">
        <v>2500.0001982173999</v>
      </c>
      <c r="E261">
        <v>12</v>
      </c>
      <c r="F261">
        <v>12</v>
      </c>
      <c r="K261">
        <v>0.44936414161745403</v>
      </c>
      <c r="L261">
        <v>1.5251795817538401</v>
      </c>
      <c r="M261">
        <v>0.26098599942946399</v>
      </c>
      <c r="N261">
        <v>3899</v>
      </c>
      <c r="T261">
        <v>2736028</v>
      </c>
    </row>
    <row r="262" spans="1:20" x14ac:dyDescent="0.3">
      <c r="A262" s="1">
        <v>45474</v>
      </c>
      <c r="B262">
        <v>115</v>
      </c>
      <c r="C262">
        <v>1842.43304282742</v>
      </c>
      <c r="D262">
        <v>4510.9504291521698</v>
      </c>
      <c r="E262">
        <v>31</v>
      </c>
      <c r="F262">
        <v>31</v>
      </c>
      <c r="K262">
        <v>0.54388999257455295</v>
      </c>
      <c r="L262">
        <v>1.43297172062096</v>
      </c>
      <c r="M262">
        <v>0.25011158278656997</v>
      </c>
      <c r="N262">
        <v>7100</v>
      </c>
      <c r="R262">
        <v>1061538</v>
      </c>
      <c r="T262">
        <v>3825867</v>
      </c>
    </row>
    <row r="263" spans="1:20" x14ac:dyDescent="0.3">
      <c r="A263" s="1">
        <v>45475</v>
      </c>
      <c r="B263">
        <v>38</v>
      </c>
      <c r="C263">
        <v>1637.8725903868001</v>
      </c>
      <c r="D263">
        <v>1661.0033071226301</v>
      </c>
      <c r="E263">
        <v>1</v>
      </c>
      <c r="F263">
        <v>1</v>
      </c>
      <c r="K263">
        <v>0.381187855487503</v>
      </c>
      <c r="L263">
        <v>1.50266185641066</v>
      </c>
      <c r="M263">
        <v>0.25011158278656997</v>
      </c>
      <c r="N263">
        <v>2921</v>
      </c>
      <c r="T263">
        <v>1293290</v>
      </c>
    </row>
    <row r="264" spans="1:20" x14ac:dyDescent="0.3">
      <c r="A264" s="1">
        <v>45476</v>
      </c>
      <c r="B264">
        <v>17</v>
      </c>
      <c r="C264">
        <v>1624.8389950073199</v>
      </c>
      <c r="D264">
        <v>754.45993213380405</v>
      </c>
      <c r="K264">
        <v>0.468595477379808</v>
      </c>
      <c r="L264">
        <v>1.2037549466925599</v>
      </c>
      <c r="M264">
        <v>0.25011158278656997</v>
      </c>
      <c r="N264">
        <v>1642</v>
      </c>
      <c r="T264">
        <v>1059572</v>
      </c>
    </row>
    <row r="265" spans="1:20" x14ac:dyDescent="0.3">
      <c r="A265" s="1">
        <v>45477</v>
      </c>
      <c r="B265">
        <v>33</v>
      </c>
      <c r="C265">
        <v>1670.57058261574</v>
      </c>
      <c r="D265">
        <v>1393.1194458521099</v>
      </c>
      <c r="K265">
        <v>0.44520545784473903</v>
      </c>
      <c r="L265">
        <v>1.4622795518818099</v>
      </c>
      <c r="M265">
        <v>0.26098599942946399</v>
      </c>
      <c r="N265">
        <v>2599</v>
      </c>
      <c r="T265">
        <v>1879624</v>
      </c>
    </row>
    <row r="266" spans="1:20" x14ac:dyDescent="0.3">
      <c r="A266" s="1">
        <v>45478</v>
      </c>
      <c r="B266">
        <v>93</v>
      </c>
      <c r="C266">
        <v>1762.4120013745301</v>
      </c>
      <c r="D266">
        <v>5258.3374334721302</v>
      </c>
      <c r="E266">
        <v>24</v>
      </c>
      <c r="F266">
        <v>24</v>
      </c>
      <c r="K266">
        <v>0.56104857586808399</v>
      </c>
      <c r="L266">
        <v>1.60040463294577</v>
      </c>
      <c r="M266">
        <v>0.25011158278656997</v>
      </c>
      <c r="N266">
        <v>7851</v>
      </c>
      <c r="T266">
        <v>3526509</v>
      </c>
    </row>
    <row r="267" spans="1:20" x14ac:dyDescent="0.3">
      <c r="A267" s="1">
        <v>45479</v>
      </c>
      <c r="B267">
        <v>122</v>
      </c>
      <c r="C267">
        <v>1908.32938997473</v>
      </c>
      <c r="D267">
        <v>5665.0280359716098</v>
      </c>
      <c r="E267">
        <v>65</v>
      </c>
      <c r="F267">
        <v>65</v>
      </c>
      <c r="K267">
        <v>0.51051068692887802</v>
      </c>
      <c r="L267">
        <v>1.50065187532716</v>
      </c>
      <c r="M267">
        <v>0.25011158278656997</v>
      </c>
      <c r="N267">
        <v>8340</v>
      </c>
      <c r="R267">
        <v>1817423</v>
      </c>
      <c r="T267">
        <v>4198913</v>
      </c>
    </row>
    <row r="268" spans="1:20" x14ac:dyDescent="0.3">
      <c r="A268" s="1">
        <v>45480</v>
      </c>
      <c r="B268">
        <v>30</v>
      </c>
      <c r="C268">
        <v>1600.4515495543901</v>
      </c>
      <c r="D268">
        <v>1080.80874393251</v>
      </c>
      <c r="K268">
        <v>0.364080017898046</v>
      </c>
      <c r="L268">
        <v>1.06384512393749</v>
      </c>
      <c r="M268">
        <v>0.26098599942946399</v>
      </c>
      <c r="N268">
        <v>1850</v>
      </c>
      <c r="T268">
        <v>622262</v>
      </c>
    </row>
    <row r="269" spans="1:20" x14ac:dyDescent="0.3">
      <c r="A269" s="1">
        <v>45481</v>
      </c>
      <c r="B269">
        <v>102</v>
      </c>
      <c r="C269">
        <v>1787.4777816260801</v>
      </c>
      <c r="D269">
        <v>4810.5849150056101</v>
      </c>
      <c r="E269">
        <v>13</v>
      </c>
      <c r="F269">
        <v>13</v>
      </c>
      <c r="K269">
        <v>0.59936340689323997</v>
      </c>
      <c r="L269">
        <v>1.7895450440139999</v>
      </c>
      <c r="M269">
        <v>0.25011158278656997</v>
      </c>
      <c r="N269">
        <v>7615</v>
      </c>
      <c r="T269">
        <v>3975984</v>
      </c>
    </row>
    <row r="270" spans="1:20" x14ac:dyDescent="0.3">
      <c r="A270" s="1">
        <v>45482</v>
      </c>
      <c r="B270">
        <v>114</v>
      </c>
      <c r="C270">
        <v>1668.3925931767401</v>
      </c>
      <c r="D270">
        <v>4030.1773765233702</v>
      </c>
      <c r="E270">
        <v>2</v>
      </c>
      <c r="F270">
        <v>2</v>
      </c>
      <c r="K270">
        <v>0.42655429345553703</v>
      </c>
      <c r="L270">
        <v>1.4157204030158399</v>
      </c>
      <c r="M270">
        <v>0.26098599942946399</v>
      </c>
      <c r="N270">
        <v>6430</v>
      </c>
      <c r="T270">
        <v>1840569</v>
      </c>
    </row>
    <row r="271" spans="1:20" x14ac:dyDescent="0.3">
      <c r="A271" s="1">
        <v>45483</v>
      </c>
      <c r="B271">
        <v>114</v>
      </c>
      <c r="C271">
        <v>1715.90225961428</v>
      </c>
      <c r="D271">
        <v>4111.4410803150404</v>
      </c>
      <c r="E271">
        <v>2</v>
      </c>
      <c r="F271">
        <v>2</v>
      </c>
      <c r="K271">
        <v>0.549555915578962</v>
      </c>
      <c r="L271">
        <v>1.6224300140524901</v>
      </c>
      <c r="M271">
        <v>0.26098599942946399</v>
      </c>
      <c r="N271">
        <v>6673</v>
      </c>
      <c r="T271">
        <v>2692505</v>
      </c>
    </row>
    <row r="272" spans="1:20" x14ac:dyDescent="0.3">
      <c r="A272" s="1">
        <v>45484</v>
      </c>
      <c r="B272">
        <v>117</v>
      </c>
      <c r="C272">
        <v>1874.89533479593</v>
      </c>
      <c r="D272">
        <v>6315.0247003993099</v>
      </c>
      <c r="E272">
        <v>31</v>
      </c>
      <c r="F272">
        <v>31</v>
      </c>
      <c r="K272">
        <v>0.63116036402317699</v>
      </c>
      <c r="L272">
        <v>1.5571797397400899</v>
      </c>
      <c r="M272">
        <v>0.25011158278656997</v>
      </c>
      <c r="N272">
        <v>9671</v>
      </c>
      <c r="T272">
        <v>5543541</v>
      </c>
    </row>
    <row r="273" spans="1:20" x14ac:dyDescent="0.3">
      <c r="A273" s="1">
        <v>45485</v>
      </c>
      <c r="B273">
        <v>84</v>
      </c>
      <c r="C273">
        <v>1689.1020299204199</v>
      </c>
      <c r="D273">
        <v>2756.0395721597401</v>
      </c>
      <c r="E273">
        <v>1</v>
      </c>
      <c r="F273">
        <v>1</v>
      </c>
      <c r="K273">
        <v>0.373689537157884</v>
      </c>
      <c r="L273">
        <v>1.4054734028747999</v>
      </c>
      <c r="M273">
        <v>0.24565578803888499</v>
      </c>
      <c r="N273">
        <v>4475</v>
      </c>
      <c r="T273">
        <v>2211929</v>
      </c>
    </row>
    <row r="274" spans="1:20" x14ac:dyDescent="0.3">
      <c r="A274" s="1">
        <v>45486</v>
      </c>
      <c r="B274">
        <v>14</v>
      </c>
      <c r="C274">
        <v>1596.8768988020799</v>
      </c>
      <c r="D274">
        <v>574.65949357971897</v>
      </c>
      <c r="E274">
        <v>1</v>
      </c>
      <c r="F274">
        <v>1</v>
      </c>
      <c r="K274">
        <v>0.43394040399846601</v>
      </c>
      <c r="L274">
        <v>1.3044024458152499</v>
      </c>
      <c r="M274">
        <v>0.315358082643936</v>
      </c>
      <c r="N274">
        <v>1042</v>
      </c>
      <c r="T274">
        <v>558162</v>
      </c>
    </row>
    <row r="275" spans="1:20" x14ac:dyDescent="0.3">
      <c r="A275" s="1">
        <v>45487</v>
      </c>
      <c r="B275">
        <v>99</v>
      </c>
      <c r="C275">
        <v>1814.68535419009</v>
      </c>
      <c r="D275">
        <v>4594.1712669053104</v>
      </c>
      <c r="E275">
        <v>18</v>
      </c>
      <c r="F275">
        <v>13</v>
      </c>
      <c r="K275">
        <v>0.395861328457349</v>
      </c>
      <c r="L275">
        <v>2.09138971371886</v>
      </c>
      <c r="M275">
        <v>0.25009689713232303</v>
      </c>
      <c r="N275">
        <v>7042</v>
      </c>
      <c r="T275">
        <v>4449425</v>
      </c>
    </row>
    <row r="276" spans="1:20" x14ac:dyDescent="0.3">
      <c r="A276" s="1">
        <v>45488</v>
      </c>
      <c r="B276">
        <v>30</v>
      </c>
      <c r="C276">
        <v>1600.38115481861</v>
      </c>
      <c r="D276">
        <v>1200.5172536157099</v>
      </c>
      <c r="E276">
        <v>2</v>
      </c>
      <c r="F276">
        <v>2</v>
      </c>
      <c r="K276">
        <v>0.44758486343429299</v>
      </c>
      <c r="L276">
        <v>1.2967489986315801</v>
      </c>
      <c r="M276">
        <v>0.25011158278656997</v>
      </c>
      <c r="N276">
        <v>2110</v>
      </c>
      <c r="T276">
        <v>621001</v>
      </c>
    </row>
    <row r="277" spans="1:20" x14ac:dyDescent="0.3">
      <c r="A277" s="1">
        <v>45489</v>
      </c>
      <c r="B277">
        <v>143</v>
      </c>
      <c r="C277">
        <v>1957.01100517488</v>
      </c>
      <c r="D277">
        <v>7655.7168545652003</v>
      </c>
      <c r="E277">
        <v>42</v>
      </c>
      <c r="F277">
        <v>42</v>
      </c>
      <c r="K277">
        <v>0.60306777156570801</v>
      </c>
      <c r="L277">
        <v>1.4491295122241299</v>
      </c>
      <c r="M277">
        <v>0.25097810747585098</v>
      </c>
      <c r="N277">
        <v>11459</v>
      </c>
      <c r="T277">
        <v>7016024</v>
      </c>
    </row>
    <row r="278" spans="1:20" x14ac:dyDescent="0.3">
      <c r="A278" s="1">
        <v>45490</v>
      </c>
      <c r="B278">
        <v>84</v>
      </c>
      <c r="C278">
        <v>1817.7157576990401</v>
      </c>
      <c r="D278">
        <v>4083.0503277441398</v>
      </c>
      <c r="E278">
        <v>18</v>
      </c>
      <c r="F278">
        <v>18</v>
      </c>
      <c r="K278">
        <v>0.41306990660223902</v>
      </c>
      <c r="L278">
        <v>1.97601684125823</v>
      </c>
      <c r="M278">
        <v>0.26453298175179502</v>
      </c>
      <c r="N278">
        <v>6091</v>
      </c>
      <c r="T278">
        <v>4518205</v>
      </c>
    </row>
    <row r="279" spans="1:20" x14ac:dyDescent="0.3">
      <c r="A279" s="1">
        <v>45491</v>
      </c>
      <c r="B279">
        <v>10</v>
      </c>
      <c r="C279">
        <v>1619.3279811283201</v>
      </c>
      <c r="D279">
        <v>521.16517549524599</v>
      </c>
      <c r="K279">
        <v>0.69052706409687803</v>
      </c>
      <c r="L279">
        <v>1.32797867794749</v>
      </c>
      <c r="M279">
        <v>0.30448366600104099</v>
      </c>
      <c r="N279">
        <v>984</v>
      </c>
      <c r="T279">
        <v>960751</v>
      </c>
    </row>
    <row r="280" spans="1:20" x14ac:dyDescent="0.3">
      <c r="A280" s="1">
        <v>45492</v>
      </c>
      <c r="B280">
        <v>84</v>
      </c>
      <c r="C280">
        <v>1852.61706127604</v>
      </c>
      <c r="D280">
        <v>4653.8350955036803</v>
      </c>
      <c r="E280">
        <v>18</v>
      </c>
      <c r="F280">
        <v>15</v>
      </c>
      <c r="K280">
        <v>0.47553025732245102</v>
      </c>
      <c r="L280">
        <v>2.9484963348452</v>
      </c>
      <c r="M280">
        <v>0.25011158278656997</v>
      </c>
      <c r="N280">
        <v>7098</v>
      </c>
      <c r="T280">
        <v>5144049</v>
      </c>
    </row>
    <row r="281" spans="1:20" x14ac:dyDescent="0.3">
      <c r="A281" s="1">
        <v>45493</v>
      </c>
      <c r="B281">
        <v>31</v>
      </c>
      <c r="C281">
        <v>1602.0795721274801</v>
      </c>
      <c r="D281">
        <v>1191.4232991926599</v>
      </c>
      <c r="K281">
        <v>0.39804787163027699</v>
      </c>
      <c r="L281">
        <v>0.91633297383082701</v>
      </c>
      <c r="M281">
        <v>0.25011158278656997</v>
      </c>
      <c r="N281">
        <v>2370</v>
      </c>
      <c r="T281">
        <v>651455</v>
      </c>
    </row>
    <row r="282" spans="1:20" x14ac:dyDescent="0.3">
      <c r="A282" s="1">
        <v>45494</v>
      </c>
      <c r="B282">
        <v>96</v>
      </c>
      <c r="C282">
        <v>1819.97739111635</v>
      </c>
      <c r="D282">
        <v>4066.7811267929801</v>
      </c>
      <c r="E282">
        <v>9</v>
      </c>
      <c r="F282">
        <v>9</v>
      </c>
      <c r="K282">
        <v>0.44325665974263601</v>
      </c>
      <c r="L282">
        <v>1.6792616476429501</v>
      </c>
      <c r="M282">
        <v>0.25011158278656997</v>
      </c>
      <c r="N282">
        <v>6267</v>
      </c>
      <c r="T282">
        <v>4558760</v>
      </c>
    </row>
    <row r="283" spans="1:20" x14ac:dyDescent="0.3">
      <c r="A283" s="1">
        <v>45495</v>
      </c>
      <c r="B283">
        <v>20</v>
      </c>
      <c r="C283">
        <v>1619.9681881220899</v>
      </c>
      <c r="D283">
        <v>738.97585101284403</v>
      </c>
      <c r="K283">
        <v>0.34354586464174203</v>
      </c>
      <c r="L283">
        <v>1.1779784653074299</v>
      </c>
      <c r="M283">
        <v>0.28637563177553099</v>
      </c>
      <c r="N283">
        <v>1401</v>
      </c>
      <c r="T283">
        <v>972231</v>
      </c>
    </row>
    <row r="284" spans="1:20" x14ac:dyDescent="0.3">
      <c r="A284" s="1">
        <v>45496</v>
      </c>
      <c r="B284">
        <v>18</v>
      </c>
      <c r="C284">
        <v>1638.59216486589</v>
      </c>
      <c r="D284">
        <v>829.41575526775102</v>
      </c>
      <c r="K284">
        <v>0.51718807044204496</v>
      </c>
      <c r="L284">
        <v>1.0897922890146601</v>
      </c>
      <c r="M284">
        <v>0.24565350570465699</v>
      </c>
      <c r="N284">
        <v>1546</v>
      </c>
      <c r="T284">
        <v>1306193</v>
      </c>
    </row>
    <row r="285" spans="1:20" x14ac:dyDescent="0.3">
      <c r="A285" s="1">
        <v>45497</v>
      </c>
      <c r="B285">
        <v>42</v>
      </c>
      <c r="C285">
        <v>1623.1658985072399</v>
      </c>
      <c r="D285">
        <v>1306.6328182869099</v>
      </c>
      <c r="K285">
        <v>0.486242140283484</v>
      </c>
      <c r="L285">
        <v>1.1449087848303099</v>
      </c>
      <c r="M285">
        <v>0.25011158278656997</v>
      </c>
      <c r="N285">
        <v>2277</v>
      </c>
      <c r="T285">
        <v>1029572</v>
      </c>
    </row>
    <row r="286" spans="1:20" x14ac:dyDescent="0.3">
      <c r="A286" s="1">
        <v>45498</v>
      </c>
      <c r="B286">
        <v>32</v>
      </c>
      <c r="C286">
        <v>1666.08007399594</v>
      </c>
      <c r="D286">
        <v>1144.4340062495401</v>
      </c>
      <c r="K286">
        <v>0.38291315299402501</v>
      </c>
      <c r="L286">
        <v>1.0098631398982301</v>
      </c>
      <c r="M286">
        <v>0.25011158278656997</v>
      </c>
      <c r="N286">
        <v>1972</v>
      </c>
      <c r="T286">
        <v>1799101</v>
      </c>
    </row>
    <row r="287" spans="1:20" x14ac:dyDescent="0.3">
      <c r="A287" s="1">
        <v>45499</v>
      </c>
      <c r="B287">
        <v>71</v>
      </c>
      <c r="C287">
        <v>1705.5930791072101</v>
      </c>
      <c r="D287">
        <v>3482.2355279150902</v>
      </c>
      <c r="E287">
        <v>18</v>
      </c>
      <c r="F287">
        <v>18</v>
      </c>
      <c r="K287">
        <v>0.44168848165925301</v>
      </c>
      <c r="L287">
        <v>1.5816835910687701</v>
      </c>
      <c r="M287">
        <v>0.26098599942946399</v>
      </c>
      <c r="N287">
        <v>5205</v>
      </c>
      <c r="T287">
        <v>2507644</v>
      </c>
    </row>
    <row r="288" spans="1:20" x14ac:dyDescent="0.3">
      <c r="A288" s="1">
        <v>45500</v>
      </c>
      <c r="B288">
        <v>18</v>
      </c>
      <c r="C288">
        <v>1595.5566018647501</v>
      </c>
      <c r="D288">
        <v>718.10208645893601</v>
      </c>
      <c r="K288">
        <v>0.51318163416596896</v>
      </c>
      <c r="L288">
        <v>1.0799336316269501</v>
      </c>
      <c r="M288">
        <v>0.26098599942946399</v>
      </c>
      <c r="N288">
        <v>1287</v>
      </c>
      <c r="T288">
        <v>534487</v>
      </c>
    </row>
    <row r="289" spans="1:20" x14ac:dyDescent="0.3">
      <c r="A289" s="1">
        <v>45501</v>
      </c>
      <c r="B289">
        <v>12</v>
      </c>
      <c r="C289">
        <v>1671.7765544886599</v>
      </c>
      <c r="D289">
        <v>628.04386539008306</v>
      </c>
      <c r="K289">
        <v>0.39037911909030298</v>
      </c>
      <c r="L289">
        <v>1.12365480770457</v>
      </c>
      <c r="M289">
        <v>0.25011158278656997</v>
      </c>
      <c r="N289">
        <v>1183</v>
      </c>
      <c r="T289">
        <v>1901250</v>
      </c>
    </row>
    <row r="290" spans="1:20" x14ac:dyDescent="0.3">
      <c r="A290" s="1">
        <v>45502</v>
      </c>
      <c r="B290">
        <v>105</v>
      </c>
      <c r="C290">
        <v>1810.2657865271401</v>
      </c>
      <c r="D290">
        <v>5069.4501612061104</v>
      </c>
      <c r="E290">
        <v>16</v>
      </c>
      <c r="F290">
        <v>16</v>
      </c>
      <c r="K290">
        <v>0.66855924351604701</v>
      </c>
      <c r="L290">
        <v>1.5114284087658001</v>
      </c>
      <c r="M290">
        <v>0.25011158278656997</v>
      </c>
      <c r="N290">
        <v>7893</v>
      </c>
      <c r="T290">
        <v>4384615</v>
      </c>
    </row>
    <row r="291" spans="1:20" x14ac:dyDescent="0.3">
      <c r="A291" s="1">
        <v>45503</v>
      </c>
      <c r="B291">
        <v>84</v>
      </c>
      <c r="C291">
        <v>1718.14678743228</v>
      </c>
      <c r="D291">
        <v>2943.4211123074701</v>
      </c>
      <c r="E291">
        <v>13</v>
      </c>
      <c r="F291">
        <v>13</v>
      </c>
      <c r="K291">
        <v>0.46391904813951701</v>
      </c>
      <c r="L291">
        <v>1.83029157405792</v>
      </c>
      <c r="M291">
        <v>0.25011158278656997</v>
      </c>
      <c r="N291">
        <v>4773</v>
      </c>
      <c r="R291">
        <v>677822</v>
      </c>
      <c r="T291">
        <v>2007662</v>
      </c>
    </row>
    <row r="292" spans="1:20" x14ac:dyDescent="0.3">
      <c r="A292" s="1">
        <v>45504</v>
      </c>
      <c r="B292">
        <v>15</v>
      </c>
      <c r="C292">
        <v>1587.57779718662</v>
      </c>
      <c r="D292">
        <v>600.934265522288</v>
      </c>
      <c r="E292">
        <v>1</v>
      </c>
      <c r="F292">
        <v>1</v>
      </c>
      <c r="K292">
        <v>0.69715237753909498</v>
      </c>
      <c r="L292">
        <v>1.3021334161328699</v>
      </c>
      <c r="M292">
        <v>0.326232478407951</v>
      </c>
      <c r="N292">
        <v>968</v>
      </c>
      <c r="T292">
        <v>391413</v>
      </c>
    </row>
    <row r="293" spans="1:20" x14ac:dyDescent="0.3">
      <c r="A293" s="1">
        <v>45505</v>
      </c>
      <c r="B293">
        <v>148</v>
      </c>
      <c r="C293">
        <v>2064.2822223421099</v>
      </c>
      <c r="D293">
        <v>8822.8068063359497</v>
      </c>
      <c r="E293">
        <v>62</v>
      </c>
      <c r="F293">
        <v>62</v>
      </c>
      <c r="K293">
        <v>0.53933529127687896</v>
      </c>
      <c r="L293">
        <v>1.5235479106823</v>
      </c>
      <c r="M293">
        <v>0.26098599942946399</v>
      </c>
      <c r="N293">
        <v>13036</v>
      </c>
      <c r="T293">
        <v>8939592</v>
      </c>
    </row>
    <row r="294" spans="1:20" x14ac:dyDescent="0.3">
      <c r="A294" s="1">
        <v>45506</v>
      </c>
      <c r="B294">
        <v>149</v>
      </c>
      <c r="C294">
        <v>1994.6218493250001</v>
      </c>
      <c r="D294">
        <v>7676.4266168402801</v>
      </c>
      <c r="E294">
        <v>49</v>
      </c>
      <c r="F294">
        <v>49</v>
      </c>
      <c r="K294">
        <v>0.70543242869597</v>
      </c>
      <c r="L294">
        <v>1.8691670970632801</v>
      </c>
      <c r="M294">
        <v>0.26092254054535202</v>
      </c>
      <c r="N294">
        <v>11434</v>
      </c>
      <c r="T294">
        <v>7690455</v>
      </c>
    </row>
    <row r="295" spans="1:20" x14ac:dyDescent="0.3">
      <c r="A295" s="1">
        <v>45507</v>
      </c>
      <c r="B295">
        <v>94</v>
      </c>
      <c r="C295">
        <v>1842.92477816528</v>
      </c>
      <c r="D295">
        <v>5263.6722407967</v>
      </c>
      <c r="E295">
        <v>34</v>
      </c>
      <c r="F295">
        <v>34</v>
      </c>
      <c r="K295">
        <v>0.50500899746264405</v>
      </c>
      <c r="L295">
        <v>1.5357454797627099</v>
      </c>
      <c r="M295">
        <v>0.24947105649420201</v>
      </c>
      <c r="N295">
        <v>7679</v>
      </c>
      <c r="T295">
        <v>4970249</v>
      </c>
    </row>
    <row r="296" spans="1:20" x14ac:dyDescent="0.3">
      <c r="A296" s="1">
        <v>45508</v>
      </c>
      <c r="B296">
        <v>195</v>
      </c>
      <c r="C296">
        <v>2078.7590794102298</v>
      </c>
      <c r="D296">
        <v>9231.3043967505091</v>
      </c>
      <c r="E296">
        <v>43</v>
      </c>
      <c r="F296">
        <v>43</v>
      </c>
      <c r="K296">
        <v>0.73375394150039597</v>
      </c>
      <c r="L296">
        <v>1.74876665369523</v>
      </c>
      <c r="M296">
        <v>0.25011158278656997</v>
      </c>
      <c r="N296">
        <v>13755</v>
      </c>
      <c r="R296">
        <v>413747</v>
      </c>
      <c r="T296">
        <v>8756590</v>
      </c>
    </row>
    <row r="297" spans="1:20" x14ac:dyDescent="0.3">
      <c r="A297" s="1">
        <v>45509</v>
      </c>
      <c r="B297">
        <v>211</v>
      </c>
      <c r="C297">
        <v>2169.5754742792001</v>
      </c>
      <c r="D297">
        <v>10435.8058470658</v>
      </c>
      <c r="E297">
        <v>85</v>
      </c>
      <c r="F297">
        <v>85</v>
      </c>
      <c r="K297">
        <v>0.70557261907527602</v>
      </c>
      <c r="L297">
        <v>1.60290847014866</v>
      </c>
      <c r="M297">
        <v>0.25011158278656997</v>
      </c>
      <c r="N297">
        <v>15395</v>
      </c>
      <c r="R297">
        <v>801614</v>
      </c>
      <c r="T297">
        <v>9970179</v>
      </c>
    </row>
    <row r="298" spans="1:20" x14ac:dyDescent="0.3">
      <c r="A298" s="1">
        <v>45510</v>
      </c>
      <c r="B298">
        <v>136</v>
      </c>
      <c r="C298">
        <v>2019.64804860544</v>
      </c>
      <c r="D298">
        <v>2720.95269387699</v>
      </c>
      <c r="E298">
        <v>87</v>
      </c>
      <c r="F298">
        <v>87</v>
      </c>
      <c r="K298">
        <v>0.53480104458932798</v>
      </c>
      <c r="L298">
        <v>1.4196377041574999</v>
      </c>
      <c r="M298">
        <v>0.25011158278656997</v>
      </c>
      <c r="N298">
        <v>4075</v>
      </c>
      <c r="R298">
        <v>4846208</v>
      </c>
      <c r="T298">
        <v>2955062</v>
      </c>
    </row>
    <row r="299" spans="1:20" x14ac:dyDescent="0.3">
      <c r="A299" s="1">
        <v>45511</v>
      </c>
      <c r="B299">
        <v>2</v>
      </c>
      <c r="C299">
        <v>1580.8063062818201</v>
      </c>
      <c r="D299">
        <v>130.49299971473201</v>
      </c>
      <c r="K299">
        <v>0.30568836825110202</v>
      </c>
      <c r="L299">
        <v>0.32623248906044</v>
      </c>
      <c r="M299">
        <v>0.271860416072358</v>
      </c>
      <c r="N299">
        <v>314</v>
      </c>
      <c r="T299">
        <v>269987</v>
      </c>
    </row>
    <row r="300" spans="1:20" x14ac:dyDescent="0.3">
      <c r="A300" s="1">
        <v>45512</v>
      </c>
      <c r="B300">
        <v>72</v>
      </c>
      <c r="C300">
        <v>1786.24817567078</v>
      </c>
      <c r="D300">
        <v>6011.6760738638304</v>
      </c>
      <c r="E300">
        <v>73</v>
      </c>
      <c r="F300">
        <v>47</v>
      </c>
      <c r="K300">
        <v>0.54075968480473802</v>
      </c>
      <c r="L300">
        <v>2.2882111694973801</v>
      </c>
      <c r="M300">
        <v>0.29360924935814697</v>
      </c>
      <c r="N300">
        <v>7864</v>
      </c>
      <c r="T300">
        <v>3626331</v>
      </c>
    </row>
    <row r="301" spans="1:20" x14ac:dyDescent="0.3">
      <c r="A301" s="1">
        <v>45513</v>
      </c>
      <c r="B301">
        <v>145</v>
      </c>
      <c r="C301">
        <v>2004.9797868385999</v>
      </c>
      <c r="D301">
        <v>4938.4710734525997</v>
      </c>
      <c r="E301">
        <v>68</v>
      </c>
      <c r="F301">
        <v>68</v>
      </c>
      <c r="K301">
        <v>0.57499558765439596</v>
      </c>
      <c r="L301">
        <v>1.5115787732678201</v>
      </c>
      <c r="M301">
        <v>0.23551511936420699</v>
      </c>
      <c r="N301">
        <v>7371</v>
      </c>
      <c r="R301">
        <v>2770647</v>
      </c>
      <c r="T301">
        <v>4912332</v>
      </c>
    </row>
    <row r="302" spans="1:20" x14ac:dyDescent="0.3">
      <c r="A302" s="1">
        <v>45514</v>
      </c>
      <c r="B302">
        <v>159</v>
      </c>
      <c r="C302">
        <v>2060.1514963659101</v>
      </c>
      <c r="D302">
        <v>5004.4643509080997</v>
      </c>
      <c r="E302">
        <v>82</v>
      </c>
      <c r="F302">
        <v>82</v>
      </c>
      <c r="K302">
        <v>0.47592902809929799</v>
      </c>
      <c r="L302">
        <v>1.5678838352940501</v>
      </c>
      <c r="M302">
        <v>0.25011158278656997</v>
      </c>
      <c r="N302">
        <v>7616</v>
      </c>
      <c r="R302">
        <v>3637083</v>
      </c>
      <c r="T302">
        <v>4974804</v>
      </c>
    </row>
    <row r="303" spans="1:20" x14ac:dyDescent="0.3">
      <c r="A303" s="1">
        <v>45515</v>
      </c>
      <c r="B303">
        <v>74</v>
      </c>
      <c r="C303">
        <v>1780.3839477741001</v>
      </c>
      <c r="D303">
        <v>2132.4165162488698</v>
      </c>
      <c r="E303">
        <v>44</v>
      </c>
      <c r="F303">
        <v>44</v>
      </c>
      <c r="K303">
        <v>0.52386327970409596</v>
      </c>
      <c r="L303">
        <v>1.4367065498526901</v>
      </c>
      <c r="M303">
        <v>0.26975183701688199</v>
      </c>
      <c r="N303">
        <v>3418</v>
      </c>
      <c r="R303">
        <v>2075309</v>
      </c>
      <c r="T303">
        <v>1628748</v>
      </c>
    </row>
    <row r="304" spans="1:20" x14ac:dyDescent="0.3">
      <c r="A304" s="1">
        <v>45516</v>
      </c>
      <c r="B304">
        <v>142</v>
      </c>
      <c r="C304">
        <v>1927.97892611257</v>
      </c>
      <c r="D304">
        <v>5984.1076195775804</v>
      </c>
      <c r="E304">
        <v>58</v>
      </c>
      <c r="F304">
        <v>58</v>
      </c>
      <c r="K304">
        <v>0.517274626110512</v>
      </c>
      <c r="L304">
        <v>1.5704026830965501</v>
      </c>
      <c r="M304">
        <v>0.25011158278656997</v>
      </c>
      <c r="N304">
        <v>9299</v>
      </c>
      <c r="R304">
        <v>1973671</v>
      </c>
      <c r="T304">
        <v>4384118</v>
      </c>
    </row>
    <row r="305" spans="1:21" x14ac:dyDescent="0.3">
      <c r="A305" s="1">
        <v>45517</v>
      </c>
      <c r="B305">
        <v>138</v>
      </c>
      <c r="C305">
        <v>1943.3837879463099</v>
      </c>
      <c r="D305">
        <v>4627.4864534566696</v>
      </c>
      <c r="E305">
        <v>39</v>
      </c>
      <c r="F305">
        <v>39</v>
      </c>
      <c r="K305">
        <v>0.59707946362949704</v>
      </c>
      <c r="L305">
        <v>1.7454818308989</v>
      </c>
      <c r="M305">
        <v>0.25011158278656997</v>
      </c>
      <c r="N305">
        <v>7399</v>
      </c>
      <c r="R305">
        <v>1936583</v>
      </c>
      <c r="T305">
        <v>4700036</v>
      </c>
    </row>
    <row r="306" spans="1:21" x14ac:dyDescent="0.3">
      <c r="A306" s="1">
        <v>45518</v>
      </c>
      <c r="B306">
        <v>153</v>
      </c>
      <c r="C306">
        <v>1833.57268577371</v>
      </c>
      <c r="D306">
        <v>5941.1588333974996</v>
      </c>
      <c r="E306">
        <v>20</v>
      </c>
      <c r="F306">
        <v>20</v>
      </c>
      <c r="K306">
        <v>0.46665444128556999</v>
      </c>
      <c r="L306">
        <v>1.7315446034719899</v>
      </c>
      <c r="M306">
        <v>0.25011158278656997</v>
      </c>
      <c r="N306">
        <v>9021</v>
      </c>
      <c r="T306">
        <v>4802550</v>
      </c>
    </row>
    <row r="307" spans="1:21" x14ac:dyDescent="0.3">
      <c r="A307" s="1">
        <v>45519</v>
      </c>
      <c r="B307">
        <v>56</v>
      </c>
      <c r="C307">
        <v>1701.6167409304201</v>
      </c>
      <c r="D307">
        <v>2432.2545246565201</v>
      </c>
      <c r="E307">
        <v>21</v>
      </c>
      <c r="F307">
        <v>21</v>
      </c>
      <c r="K307">
        <v>0.532374352622076</v>
      </c>
      <c r="L307">
        <v>1.3882491958029599</v>
      </c>
      <c r="M307">
        <v>0.29360924935814697</v>
      </c>
      <c r="N307">
        <v>3641</v>
      </c>
      <c r="R307">
        <v>546820</v>
      </c>
      <c r="T307">
        <v>1851386</v>
      </c>
    </row>
    <row r="308" spans="1:21" x14ac:dyDescent="0.3">
      <c r="A308" s="1">
        <v>45520</v>
      </c>
      <c r="B308">
        <v>165</v>
      </c>
      <c r="C308">
        <v>2074.1170331594199</v>
      </c>
      <c r="D308">
        <v>5976.2830379432799</v>
      </c>
      <c r="E308">
        <v>89</v>
      </c>
      <c r="F308">
        <v>89</v>
      </c>
      <c r="K308">
        <v>0.56312852110464795</v>
      </c>
      <c r="L308">
        <v>1.4247688554521301</v>
      </c>
      <c r="M308">
        <v>0.25640984563242197</v>
      </c>
      <c r="N308">
        <v>8953</v>
      </c>
      <c r="R308">
        <v>3429135</v>
      </c>
      <c r="T308">
        <v>5447683</v>
      </c>
    </row>
    <row r="309" spans="1:21" x14ac:dyDescent="0.3">
      <c r="A309" s="1">
        <v>45521</v>
      </c>
      <c r="B309">
        <v>85</v>
      </c>
      <c r="C309">
        <v>1804.0504331080599</v>
      </c>
      <c r="D309">
        <v>4439.3987293977898</v>
      </c>
      <c r="E309">
        <v>18</v>
      </c>
      <c r="F309">
        <v>18</v>
      </c>
      <c r="K309">
        <v>0.53462644246956903</v>
      </c>
      <c r="L309">
        <v>1.5268284310986</v>
      </c>
      <c r="M309">
        <v>0.28273483271525301</v>
      </c>
      <c r="N309">
        <v>6732</v>
      </c>
      <c r="T309">
        <v>3852531</v>
      </c>
      <c r="U309">
        <v>183674</v>
      </c>
    </row>
    <row r="310" spans="1:21" x14ac:dyDescent="0.3">
      <c r="A310" s="1">
        <v>45522</v>
      </c>
      <c r="B310">
        <v>134</v>
      </c>
      <c r="C310">
        <v>1975.83950751097</v>
      </c>
      <c r="D310">
        <v>4363.2458769897803</v>
      </c>
      <c r="E310">
        <v>58</v>
      </c>
      <c r="F310">
        <v>58</v>
      </c>
      <c r="K310">
        <v>0.53505338201149899</v>
      </c>
      <c r="L310">
        <v>1.5851051519155099</v>
      </c>
      <c r="M310">
        <v>0.27007720416099301</v>
      </c>
      <c r="N310">
        <v>6485</v>
      </c>
      <c r="R310">
        <v>2502478</v>
      </c>
      <c r="T310">
        <v>4676662</v>
      </c>
    </row>
    <row r="311" spans="1:21" x14ac:dyDescent="0.3">
      <c r="A311" s="1">
        <v>45523</v>
      </c>
      <c r="B311">
        <v>132</v>
      </c>
      <c r="C311">
        <v>1920.3059393328299</v>
      </c>
      <c r="D311">
        <v>3707.1267109025998</v>
      </c>
      <c r="E311">
        <v>47</v>
      </c>
      <c r="F311">
        <v>47</v>
      </c>
      <c r="K311">
        <v>0.48008223782077403</v>
      </c>
      <c r="L311">
        <v>1.2514167553389799</v>
      </c>
      <c r="M311">
        <v>0.25409148062502002</v>
      </c>
      <c r="N311">
        <v>5893</v>
      </c>
      <c r="R311">
        <v>2685512</v>
      </c>
      <c r="T311">
        <v>3485048</v>
      </c>
    </row>
    <row r="312" spans="1:21" x14ac:dyDescent="0.3">
      <c r="A312" s="1">
        <v>45524</v>
      </c>
      <c r="B312">
        <v>152</v>
      </c>
      <c r="C312">
        <v>2032.41423345775</v>
      </c>
      <c r="D312">
        <v>3282.8536254228702</v>
      </c>
      <c r="E312">
        <v>76</v>
      </c>
      <c r="F312">
        <v>76</v>
      </c>
      <c r="K312">
        <v>0.53625247665437004</v>
      </c>
      <c r="L312">
        <v>1.62143294034374</v>
      </c>
      <c r="M312">
        <v>0.24929156752270701</v>
      </c>
      <c r="N312">
        <v>5482</v>
      </c>
      <c r="R312">
        <v>4572431</v>
      </c>
      <c r="T312">
        <v>3476851</v>
      </c>
    </row>
    <row r="313" spans="1:21" x14ac:dyDescent="0.3">
      <c r="A313" s="1">
        <v>45525</v>
      </c>
      <c r="B313">
        <v>131</v>
      </c>
      <c r="C313">
        <v>1920.8933387151801</v>
      </c>
      <c r="D313">
        <v>4677.0140043594502</v>
      </c>
      <c r="E313">
        <v>51</v>
      </c>
      <c r="F313">
        <v>51</v>
      </c>
      <c r="K313">
        <v>0.57903075400050896</v>
      </c>
      <c r="L313">
        <v>1.4583891870703201</v>
      </c>
      <c r="M313">
        <v>0.25215968208991901</v>
      </c>
      <c r="N313">
        <v>7158</v>
      </c>
      <c r="R313">
        <v>2394686</v>
      </c>
      <c r="T313">
        <v>3806690</v>
      </c>
    </row>
    <row r="314" spans="1:21" x14ac:dyDescent="0.3">
      <c r="A314" s="1">
        <v>45526</v>
      </c>
      <c r="B314">
        <v>124</v>
      </c>
      <c r="C314">
        <v>1890.8056677207401</v>
      </c>
      <c r="D314">
        <v>5085.4261980909896</v>
      </c>
      <c r="E314">
        <v>55</v>
      </c>
      <c r="F314">
        <v>55</v>
      </c>
      <c r="K314">
        <v>0.50326973027305599</v>
      </c>
      <c r="L314">
        <v>1.5932730099336501</v>
      </c>
      <c r="M314">
        <v>0.24508296567711399</v>
      </c>
      <c r="N314">
        <v>7621</v>
      </c>
      <c r="R314">
        <v>1742804</v>
      </c>
      <c r="T314">
        <v>3964505</v>
      </c>
    </row>
    <row r="315" spans="1:21" x14ac:dyDescent="0.3">
      <c r="A315" s="1">
        <v>45527</v>
      </c>
      <c r="B315">
        <v>82</v>
      </c>
      <c r="C315">
        <v>1805.4407189814699</v>
      </c>
      <c r="D315">
        <v>2748.8460133302901</v>
      </c>
      <c r="E315">
        <v>24</v>
      </c>
      <c r="F315">
        <v>24</v>
      </c>
      <c r="K315">
        <v>0.50332628406809998</v>
      </c>
      <c r="L315">
        <v>1.4054326321530199</v>
      </c>
      <c r="M315">
        <v>0.26098599942946399</v>
      </c>
      <c r="N315">
        <v>4251</v>
      </c>
      <c r="R315">
        <v>1163004</v>
      </c>
      <c r="T315">
        <v>3053986</v>
      </c>
    </row>
    <row r="316" spans="1:21" x14ac:dyDescent="0.3">
      <c r="A316" s="1">
        <v>45528</v>
      </c>
      <c r="B316">
        <v>186</v>
      </c>
      <c r="C316">
        <v>2154.5182332158101</v>
      </c>
      <c r="D316">
        <v>9545.6033820010907</v>
      </c>
      <c r="E316">
        <v>76</v>
      </c>
      <c r="F316">
        <v>76</v>
      </c>
      <c r="K316">
        <v>0.65349722968776403</v>
      </c>
      <c r="L316">
        <v>1.49706922115376</v>
      </c>
      <c r="M316">
        <v>0.248915701927058</v>
      </c>
      <c r="N316">
        <v>14081</v>
      </c>
      <c r="R316">
        <v>978254</v>
      </c>
      <c r="T316">
        <v>9159302</v>
      </c>
      <c r="U316">
        <v>153667</v>
      </c>
    </row>
    <row r="317" spans="1:21" x14ac:dyDescent="0.3">
      <c r="A317" s="1">
        <v>45529</v>
      </c>
      <c r="B317">
        <v>27</v>
      </c>
      <c r="C317">
        <v>1634.1068974488901</v>
      </c>
      <c r="D317">
        <v>1130.8914435588299</v>
      </c>
      <c r="E317">
        <v>2</v>
      </c>
      <c r="F317">
        <v>2</v>
      </c>
      <c r="K317">
        <v>0.65369435591965597</v>
      </c>
      <c r="L317">
        <v>1.2354227932670201</v>
      </c>
      <c r="M317">
        <v>0.28273483271525301</v>
      </c>
      <c r="N317">
        <v>1784</v>
      </c>
      <c r="T317">
        <v>1225765</v>
      </c>
    </row>
    <row r="318" spans="1:21" x14ac:dyDescent="0.3">
      <c r="A318" s="1">
        <v>45530</v>
      </c>
      <c r="B318">
        <v>218</v>
      </c>
      <c r="C318">
        <v>2134.6605308817202</v>
      </c>
      <c r="D318">
        <v>9788.0824542196297</v>
      </c>
      <c r="E318">
        <v>71</v>
      </c>
      <c r="F318">
        <v>71</v>
      </c>
      <c r="K318">
        <v>0.65024631030755298</v>
      </c>
      <c r="L318">
        <v>1.47887554764331</v>
      </c>
      <c r="M318">
        <v>0.25830786258570498</v>
      </c>
      <c r="N318">
        <v>14651</v>
      </c>
      <c r="R318">
        <v>1757818</v>
      </c>
      <c r="T318">
        <v>8321205</v>
      </c>
    </row>
    <row r="319" spans="1:21" x14ac:dyDescent="0.3">
      <c r="A319" s="1">
        <v>45531</v>
      </c>
      <c r="B319">
        <v>127</v>
      </c>
      <c r="C319">
        <v>1975.39543875291</v>
      </c>
      <c r="D319">
        <v>4761.2435261896399</v>
      </c>
      <c r="E319">
        <v>55</v>
      </c>
      <c r="F319">
        <v>55</v>
      </c>
      <c r="K319">
        <v>0.42238947229614299</v>
      </c>
      <c r="L319">
        <v>1.52634296365397</v>
      </c>
      <c r="M319">
        <v>0.250010343545708</v>
      </c>
      <c r="N319">
        <v>7393</v>
      </c>
      <c r="R319">
        <v>2189926</v>
      </c>
      <c r="T319">
        <v>5003049</v>
      </c>
    </row>
    <row r="320" spans="1:21" x14ac:dyDescent="0.3">
      <c r="A320" s="1">
        <v>45532</v>
      </c>
      <c r="B320">
        <v>139</v>
      </c>
      <c r="C320">
        <v>1930.44580370789</v>
      </c>
      <c r="D320">
        <v>6627.3618024069601</v>
      </c>
      <c r="E320">
        <v>59</v>
      </c>
      <c r="F320">
        <v>59</v>
      </c>
      <c r="K320">
        <v>0.68343472613090395</v>
      </c>
      <c r="L320">
        <v>1.8553719630641199</v>
      </c>
      <c r="M320">
        <v>0.26098599942946399</v>
      </c>
      <c r="N320">
        <v>9722</v>
      </c>
      <c r="R320">
        <v>1093181</v>
      </c>
      <c r="T320">
        <v>5370247</v>
      </c>
    </row>
    <row r="321" spans="1:21" x14ac:dyDescent="0.3">
      <c r="A321" s="1">
        <v>45533</v>
      </c>
      <c r="B321">
        <v>131</v>
      </c>
      <c r="C321">
        <v>1982.45573601505</v>
      </c>
      <c r="D321">
        <v>4576.1344012011996</v>
      </c>
      <c r="E321">
        <v>64</v>
      </c>
      <c r="F321">
        <v>64</v>
      </c>
      <c r="K321">
        <v>0.479099575993715</v>
      </c>
      <c r="L321">
        <v>1.72224950580257</v>
      </c>
      <c r="M321">
        <v>0.25011158278656997</v>
      </c>
      <c r="N321">
        <v>6776</v>
      </c>
      <c r="R321">
        <v>2696408</v>
      </c>
      <c r="T321">
        <v>4587851</v>
      </c>
    </row>
    <row r="322" spans="1:21" x14ac:dyDescent="0.3">
      <c r="A322" s="1">
        <v>45534</v>
      </c>
      <c r="B322">
        <v>142</v>
      </c>
      <c r="C322">
        <v>1980.5151014385399</v>
      </c>
      <c r="D322">
        <v>7423.9294071654203</v>
      </c>
      <c r="E322">
        <v>57</v>
      </c>
      <c r="F322">
        <v>57</v>
      </c>
      <c r="K322">
        <v>0.59028430017634304</v>
      </c>
      <c r="L322">
        <v>2.2365855954874001</v>
      </c>
      <c r="M322">
        <v>0.25011158278656997</v>
      </c>
      <c r="N322">
        <v>10884</v>
      </c>
      <c r="R322">
        <v>900530</v>
      </c>
      <c r="T322">
        <v>5887672</v>
      </c>
      <c r="U322">
        <v>256101</v>
      </c>
    </row>
    <row r="323" spans="1:21" x14ac:dyDescent="0.3">
      <c r="A323" s="1">
        <v>45535</v>
      </c>
      <c r="B323">
        <v>89</v>
      </c>
      <c r="C323">
        <v>1910.6087675229101</v>
      </c>
      <c r="D323">
        <v>2994.65548578782</v>
      </c>
      <c r="E323">
        <v>41</v>
      </c>
      <c r="F323">
        <v>41</v>
      </c>
      <c r="K323">
        <v>0.417440143613236</v>
      </c>
      <c r="L323">
        <v>1.47204461919483</v>
      </c>
      <c r="M323">
        <v>0.26816314020702198</v>
      </c>
      <c r="N323">
        <v>4667</v>
      </c>
      <c r="R323">
        <v>2008372</v>
      </c>
      <c r="T323">
        <v>4035520</v>
      </c>
    </row>
    <row r="324" spans="1:21" x14ac:dyDescent="0.3">
      <c r="A324" s="1">
        <v>45536</v>
      </c>
      <c r="B324">
        <v>27</v>
      </c>
      <c r="C324">
        <v>1641.39290903236</v>
      </c>
      <c r="D324">
        <v>1657.15251765059</v>
      </c>
      <c r="E324">
        <v>4</v>
      </c>
      <c r="F324">
        <v>4</v>
      </c>
      <c r="K324">
        <v>0.67072505337275701</v>
      </c>
      <c r="L324">
        <v>1.3886876057413799</v>
      </c>
      <c r="M324">
        <v>0.29360924935814697</v>
      </c>
      <c r="N324">
        <v>2428</v>
      </c>
      <c r="T324">
        <v>1356414</v>
      </c>
    </row>
    <row r="325" spans="1:21" x14ac:dyDescent="0.3">
      <c r="A325" s="1">
        <v>45537</v>
      </c>
      <c r="B325">
        <v>101</v>
      </c>
      <c r="C325">
        <v>1894.4140706793801</v>
      </c>
      <c r="D325">
        <v>3501.6811619370201</v>
      </c>
      <c r="E325">
        <v>51</v>
      </c>
      <c r="F325">
        <v>51</v>
      </c>
      <c r="K325">
        <v>0.59624524806788004</v>
      </c>
      <c r="L325">
        <v>1.46885244837503</v>
      </c>
      <c r="M325">
        <v>0.26291326063561998</v>
      </c>
      <c r="N325">
        <v>5397</v>
      </c>
      <c r="R325">
        <v>2312744</v>
      </c>
      <c r="T325">
        <v>3419524</v>
      </c>
    </row>
    <row r="326" spans="1:21" x14ac:dyDescent="0.3">
      <c r="A326" s="1">
        <v>45538</v>
      </c>
      <c r="B326">
        <v>148</v>
      </c>
      <c r="C326">
        <v>1992.1079614442499</v>
      </c>
      <c r="D326">
        <v>7355.4844235059199</v>
      </c>
      <c r="E326">
        <v>57</v>
      </c>
      <c r="F326">
        <v>57</v>
      </c>
      <c r="K326">
        <v>0.72900128184750701</v>
      </c>
      <c r="L326">
        <v>1.8014786939286001</v>
      </c>
      <c r="M326">
        <v>0.29360924935814697</v>
      </c>
      <c r="N326">
        <v>10860</v>
      </c>
      <c r="R326">
        <v>904368</v>
      </c>
      <c r="T326">
        <v>6677944</v>
      </c>
    </row>
    <row r="327" spans="1:21" x14ac:dyDescent="0.3">
      <c r="A327" s="1">
        <v>45539</v>
      </c>
      <c r="B327">
        <v>96</v>
      </c>
      <c r="C327">
        <v>1898.3527385155701</v>
      </c>
      <c r="D327">
        <v>3335.71874154125</v>
      </c>
      <c r="E327">
        <v>40</v>
      </c>
      <c r="F327">
        <v>40</v>
      </c>
      <c r="K327">
        <v>0.42128782733912901</v>
      </c>
      <c r="L327">
        <v>1.41040210106929</v>
      </c>
      <c r="M327">
        <v>0.25127376963627901</v>
      </c>
      <c r="N327">
        <v>5130</v>
      </c>
      <c r="R327">
        <v>1623810</v>
      </c>
      <c r="T327">
        <v>4227127</v>
      </c>
    </row>
    <row r="328" spans="1:21" x14ac:dyDescent="0.3">
      <c r="A328" s="1">
        <v>45540</v>
      </c>
      <c r="B328">
        <v>160</v>
      </c>
      <c r="C328">
        <v>1945.7666957592201</v>
      </c>
      <c r="D328">
        <v>6405.9524153517696</v>
      </c>
      <c r="E328">
        <v>47</v>
      </c>
      <c r="F328">
        <v>47</v>
      </c>
      <c r="K328">
        <v>0.59016656607977303</v>
      </c>
      <c r="L328">
        <v>1.5204292174096199</v>
      </c>
      <c r="M328">
        <v>0.26098599942946399</v>
      </c>
      <c r="N328">
        <v>9761</v>
      </c>
      <c r="R328">
        <v>1578408</v>
      </c>
      <c r="T328">
        <v>5125914</v>
      </c>
    </row>
    <row r="329" spans="1:21" x14ac:dyDescent="0.3">
      <c r="A329" s="1">
        <v>45541</v>
      </c>
      <c r="B329">
        <v>112</v>
      </c>
      <c r="C329">
        <v>1926.7591987456201</v>
      </c>
      <c r="D329">
        <v>5186.2514439408196</v>
      </c>
      <c r="E329">
        <v>45</v>
      </c>
      <c r="F329">
        <v>45</v>
      </c>
      <c r="K329">
        <v>0.60326363524349103</v>
      </c>
      <c r="L329">
        <v>1.4905027039666301</v>
      </c>
      <c r="M329">
        <v>0.25011158278656997</v>
      </c>
      <c r="N329">
        <v>7671</v>
      </c>
      <c r="R329">
        <v>1093454</v>
      </c>
      <c r="T329">
        <v>5303846</v>
      </c>
    </row>
    <row r="330" spans="1:21" x14ac:dyDescent="0.3">
      <c r="A330" s="1">
        <v>45542</v>
      </c>
      <c r="B330">
        <v>63</v>
      </c>
      <c r="C330">
        <v>1843.84368998387</v>
      </c>
      <c r="D330">
        <v>1345.38107861653</v>
      </c>
      <c r="E330">
        <v>34</v>
      </c>
      <c r="F330">
        <v>34</v>
      </c>
      <c r="K330">
        <v>0.432887519719449</v>
      </c>
      <c r="L330">
        <v>1.41174119657826</v>
      </c>
      <c r="M330">
        <v>0.29360924935814697</v>
      </c>
      <c r="N330">
        <v>2314</v>
      </c>
      <c r="R330">
        <v>2180674</v>
      </c>
      <c r="T330">
        <v>2653984</v>
      </c>
    </row>
    <row r="331" spans="1:21" x14ac:dyDescent="0.3">
      <c r="A331" s="1">
        <v>45543</v>
      </c>
      <c r="B331">
        <v>104</v>
      </c>
      <c r="C331">
        <v>1817.4838904074099</v>
      </c>
      <c r="D331">
        <v>4431.72304833821</v>
      </c>
      <c r="E331">
        <v>20</v>
      </c>
      <c r="F331">
        <v>20</v>
      </c>
      <c r="K331">
        <v>0.55077289569258203</v>
      </c>
      <c r="L331">
        <v>1.9753696495434401</v>
      </c>
      <c r="M331">
        <v>0.24890044502238801</v>
      </c>
      <c r="N331">
        <v>6885</v>
      </c>
      <c r="R331">
        <v>646956</v>
      </c>
      <c r="T331">
        <v>3821976</v>
      </c>
    </row>
    <row r="332" spans="1:21" x14ac:dyDescent="0.3">
      <c r="A332" s="1">
        <v>45544</v>
      </c>
      <c r="B332">
        <v>157</v>
      </c>
      <c r="C332">
        <v>2039.6734127274799</v>
      </c>
      <c r="D332">
        <v>6080.6600795138302</v>
      </c>
      <c r="E332">
        <v>56</v>
      </c>
      <c r="F332">
        <v>56</v>
      </c>
      <c r="K332">
        <v>0.64618570244574203</v>
      </c>
      <c r="L332">
        <v>1.58589023406421</v>
      </c>
      <c r="M332">
        <v>0.271860416072358</v>
      </c>
      <c r="N332">
        <v>9408</v>
      </c>
      <c r="R332">
        <v>2182632</v>
      </c>
      <c r="T332">
        <v>6163476</v>
      </c>
    </row>
    <row r="333" spans="1:21" x14ac:dyDescent="0.3">
      <c r="A333" s="1">
        <v>45545</v>
      </c>
      <c r="B333">
        <v>184</v>
      </c>
      <c r="C333">
        <v>2185.13336368522</v>
      </c>
      <c r="D333">
        <v>7850.5660383387403</v>
      </c>
      <c r="E333">
        <v>115</v>
      </c>
      <c r="F333">
        <v>115</v>
      </c>
      <c r="K333">
        <v>0.45194781659400901</v>
      </c>
      <c r="L333">
        <v>1.5024010130444201</v>
      </c>
      <c r="M333">
        <v>0.25011158278656997</v>
      </c>
      <c r="N333">
        <v>11460</v>
      </c>
      <c r="R333">
        <v>3318781</v>
      </c>
      <c r="T333">
        <v>7556456</v>
      </c>
    </row>
    <row r="334" spans="1:21" x14ac:dyDescent="0.3">
      <c r="A334" s="1">
        <v>45546</v>
      </c>
      <c r="B334">
        <v>118</v>
      </c>
      <c r="C334">
        <v>1895.8106702846501</v>
      </c>
      <c r="D334">
        <v>4110.7038166983502</v>
      </c>
      <c r="E334">
        <v>45</v>
      </c>
      <c r="F334">
        <v>45</v>
      </c>
      <c r="K334">
        <v>0.54081686397600004</v>
      </c>
      <c r="L334">
        <v>1.39353205019382</v>
      </c>
      <c r="M334">
        <v>0.28273483271525301</v>
      </c>
      <c r="N334">
        <v>6349</v>
      </c>
      <c r="R334">
        <v>2181054</v>
      </c>
      <c r="T334">
        <v>3585440</v>
      </c>
    </row>
    <row r="335" spans="1:21" x14ac:dyDescent="0.3">
      <c r="A335" s="1">
        <v>45547</v>
      </c>
      <c r="B335">
        <v>151</v>
      </c>
      <c r="C335">
        <v>2008.4660918805901</v>
      </c>
      <c r="D335">
        <v>6610.2009039322402</v>
      </c>
      <c r="E335">
        <v>65</v>
      </c>
      <c r="F335">
        <v>64</v>
      </c>
      <c r="K335">
        <v>0.60414981910986298</v>
      </c>
      <c r="L335">
        <v>2.0593529445756902</v>
      </c>
      <c r="M335">
        <v>0.26098599942946399</v>
      </c>
      <c r="N335">
        <v>9961</v>
      </c>
      <c r="R335">
        <v>1777841</v>
      </c>
      <c r="T335">
        <v>5844163</v>
      </c>
      <c r="U335">
        <v>84156</v>
      </c>
    </row>
    <row r="336" spans="1:21" x14ac:dyDescent="0.3">
      <c r="A336" s="1">
        <v>45548</v>
      </c>
      <c r="B336">
        <v>103</v>
      </c>
      <c r="C336">
        <v>1854.2227994693301</v>
      </c>
      <c r="D336">
        <v>5239.3871983839599</v>
      </c>
      <c r="E336">
        <v>35</v>
      </c>
      <c r="F336">
        <v>35</v>
      </c>
      <c r="K336">
        <v>0.43385231222718601</v>
      </c>
      <c r="L336">
        <v>1.5008823392408199</v>
      </c>
      <c r="M336">
        <v>0.25774089969328201</v>
      </c>
      <c r="N336">
        <v>8125</v>
      </c>
      <c r="R336">
        <v>473141</v>
      </c>
      <c r="T336">
        <v>4666709</v>
      </c>
    </row>
    <row r="337" spans="1:21" x14ac:dyDescent="0.3">
      <c r="A337" s="1">
        <v>45549</v>
      </c>
      <c r="B337">
        <v>149</v>
      </c>
      <c r="C337">
        <v>2033.12317003925</v>
      </c>
      <c r="D337">
        <v>4548.0224549966797</v>
      </c>
      <c r="E337">
        <v>60</v>
      </c>
      <c r="F337">
        <v>60</v>
      </c>
      <c r="K337">
        <v>0.44934870382039299</v>
      </c>
      <c r="L337">
        <v>1.54034039638356</v>
      </c>
      <c r="M337">
        <v>0.24568079035104801</v>
      </c>
      <c r="N337">
        <v>7603</v>
      </c>
      <c r="R337">
        <v>3304195</v>
      </c>
      <c r="T337">
        <v>4846241</v>
      </c>
    </row>
    <row r="338" spans="1:21" x14ac:dyDescent="0.3">
      <c r="A338" s="1">
        <v>45550</v>
      </c>
      <c r="B338">
        <v>222</v>
      </c>
      <c r="C338">
        <v>2207.7265033728499</v>
      </c>
      <c r="D338">
        <v>8952.6357260634795</v>
      </c>
      <c r="E338">
        <v>144</v>
      </c>
      <c r="F338">
        <v>125</v>
      </c>
      <c r="K338">
        <v>0.64815665488706398</v>
      </c>
      <c r="L338">
        <v>2.3929193883724298</v>
      </c>
      <c r="M338">
        <v>0.25011158278656997</v>
      </c>
      <c r="N338">
        <v>12879</v>
      </c>
      <c r="R338">
        <v>4747291</v>
      </c>
      <c r="T338">
        <v>6406929</v>
      </c>
    </row>
    <row r="339" spans="1:21" x14ac:dyDescent="0.3">
      <c r="A339" s="1">
        <v>45551</v>
      </c>
      <c r="B339">
        <v>155</v>
      </c>
      <c r="C339">
        <v>1875.3916182596599</v>
      </c>
      <c r="D339">
        <v>6003.2596230484696</v>
      </c>
      <c r="E339">
        <v>50</v>
      </c>
      <c r="F339">
        <v>50</v>
      </c>
      <c r="K339">
        <v>0.53917810815246303</v>
      </c>
      <c r="L339">
        <v>1.6442827027740801</v>
      </c>
      <c r="M339">
        <v>0.25011158278656997</v>
      </c>
      <c r="N339">
        <v>9182</v>
      </c>
      <c r="R339">
        <v>1359799</v>
      </c>
      <c r="T339">
        <v>4097816</v>
      </c>
    </row>
    <row r="340" spans="1:21" x14ac:dyDescent="0.3">
      <c r="A340" s="1">
        <v>45552</v>
      </c>
      <c r="B340">
        <v>132</v>
      </c>
      <c r="C340">
        <v>1951.68991811152</v>
      </c>
      <c r="D340">
        <v>4124.0011900723703</v>
      </c>
      <c r="E340">
        <v>70</v>
      </c>
      <c r="F340">
        <v>70</v>
      </c>
      <c r="K340">
        <v>0.52225963781548401</v>
      </c>
      <c r="L340">
        <v>1.4219186786058999</v>
      </c>
      <c r="M340">
        <v>0.28273483271525301</v>
      </c>
      <c r="N340">
        <v>6302</v>
      </c>
      <c r="R340">
        <v>3106678</v>
      </c>
      <c r="T340">
        <v>3597288</v>
      </c>
    </row>
    <row r="341" spans="1:21" x14ac:dyDescent="0.3">
      <c r="A341" s="1">
        <v>45553</v>
      </c>
      <c r="B341">
        <v>104</v>
      </c>
      <c r="C341">
        <v>1844.19869450482</v>
      </c>
      <c r="D341">
        <v>2913.2957188649998</v>
      </c>
      <c r="E341">
        <v>43</v>
      </c>
      <c r="F341">
        <v>43</v>
      </c>
      <c r="K341">
        <v>0.59578542439974402</v>
      </c>
      <c r="L341">
        <v>1.40300013950673</v>
      </c>
      <c r="M341">
        <v>0.26098599942946399</v>
      </c>
      <c r="N341">
        <v>4707</v>
      </c>
      <c r="R341">
        <v>2444904</v>
      </c>
      <c r="T341">
        <v>2377696</v>
      </c>
    </row>
    <row r="342" spans="1:21" x14ac:dyDescent="0.3">
      <c r="A342" s="1">
        <v>45554</v>
      </c>
      <c r="B342">
        <v>126</v>
      </c>
      <c r="C342">
        <v>1918.4274454076201</v>
      </c>
      <c r="D342">
        <v>4195.6094507255402</v>
      </c>
      <c r="E342">
        <v>49</v>
      </c>
      <c r="F342">
        <v>49</v>
      </c>
      <c r="K342">
        <v>0.62491673962799599</v>
      </c>
      <c r="L342">
        <v>1.4686215132757801</v>
      </c>
      <c r="M342">
        <v>0.271860416072358</v>
      </c>
      <c r="N342">
        <v>6387</v>
      </c>
      <c r="R342">
        <v>2217400</v>
      </c>
      <c r="T342">
        <v>3952117</v>
      </c>
    </row>
    <row r="343" spans="1:21" x14ac:dyDescent="0.3">
      <c r="A343" s="1">
        <v>45555</v>
      </c>
      <c r="B343">
        <v>118</v>
      </c>
      <c r="C343">
        <v>1864.0151329508201</v>
      </c>
      <c r="D343">
        <v>5835.1206775916398</v>
      </c>
      <c r="E343">
        <v>43</v>
      </c>
      <c r="F343">
        <v>42</v>
      </c>
      <c r="K343">
        <v>0.58049588625034998</v>
      </c>
      <c r="L343">
        <v>2.1369305747652798</v>
      </c>
      <c r="M343">
        <v>0.26098599942946399</v>
      </c>
      <c r="N343">
        <v>8586</v>
      </c>
      <c r="R343">
        <v>605280</v>
      </c>
      <c r="T343">
        <v>4685471</v>
      </c>
    </row>
    <row r="344" spans="1:21" x14ac:dyDescent="0.3">
      <c r="A344" s="1">
        <v>45556</v>
      </c>
      <c r="B344">
        <v>71</v>
      </c>
      <c r="C344">
        <v>1819.7982640411101</v>
      </c>
      <c r="D344">
        <v>2313.1603933001802</v>
      </c>
      <c r="E344">
        <v>31</v>
      </c>
      <c r="F344">
        <v>31</v>
      </c>
      <c r="K344">
        <v>0.496544728795977</v>
      </c>
      <c r="L344">
        <v>1.51096523515064</v>
      </c>
      <c r="M344">
        <v>0.271860416072358</v>
      </c>
      <c r="N344">
        <v>3580</v>
      </c>
      <c r="R344">
        <v>1526816</v>
      </c>
      <c r="T344">
        <v>2922260</v>
      </c>
    </row>
    <row r="345" spans="1:21" x14ac:dyDescent="0.3">
      <c r="A345" s="1">
        <v>45557</v>
      </c>
      <c r="B345">
        <v>30</v>
      </c>
      <c r="C345">
        <v>1672.69354049353</v>
      </c>
      <c r="D345">
        <v>3006.17265648496</v>
      </c>
      <c r="E345">
        <v>43</v>
      </c>
      <c r="F345">
        <v>23</v>
      </c>
      <c r="K345">
        <v>0.89830305274589195</v>
      </c>
      <c r="L345">
        <v>2.24045482257783</v>
      </c>
      <c r="M345">
        <v>0.32623246588062499</v>
      </c>
      <c r="N345">
        <v>3772</v>
      </c>
      <c r="T345">
        <v>1651258</v>
      </c>
    </row>
    <row r="346" spans="1:21" x14ac:dyDescent="0.3">
      <c r="A346" s="1">
        <v>45558</v>
      </c>
      <c r="B346">
        <v>163</v>
      </c>
      <c r="C346">
        <v>2061.7062229621001</v>
      </c>
      <c r="D346">
        <v>4554.9867113544497</v>
      </c>
      <c r="E346">
        <v>76</v>
      </c>
      <c r="F346">
        <v>76</v>
      </c>
      <c r="K346">
        <v>0.49374589530082202</v>
      </c>
      <c r="L346">
        <v>1.56810995621226</v>
      </c>
      <c r="M346">
        <v>0.25011158278656997</v>
      </c>
      <c r="N346">
        <v>6948</v>
      </c>
      <c r="R346">
        <v>4048520</v>
      </c>
      <c r="T346">
        <v>4562554</v>
      </c>
    </row>
    <row r="347" spans="1:21" x14ac:dyDescent="0.3">
      <c r="A347" s="1">
        <v>45559</v>
      </c>
      <c r="B347">
        <v>133</v>
      </c>
      <c r="C347">
        <v>1906.31008101115</v>
      </c>
      <c r="D347">
        <v>3976.5579877561199</v>
      </c>
      <c r="E347">
        <v>52</v>
      </c>
      <c r="F347">
        <v>52</v>
      </c>
      <c r="K347">
        <v>0.57377854149456198</v>
      </c>
      <c r="L347">
        <v>1.68910701064932</v>
      </c>
      <c r="M347">
        <v>0.26644254178187099</v>
      </c>
      <c r="N347">
        <v>6190</v>
      </c>
      <c r="R347">
        <v>2636344</v>
      </c>
      <c r="T347">
        <v>3286674</v>
      </c>
    </row>
    <row r="348" spans="1:21" x14ac:dyDescent="0.3">
      <c r="A348" s="1">
        <v>45560</v>
      </c>
      <c r="B348">
        <v>136</v>
      </c>
      <c r="C348">
        <v>1974.8122379577701</v>
      </c>
      <c r="D348">
        <v>3755.3321799320902</v>
      </c>
      <c r="E348">
        <v>76</v>
      </c>
      <c r="F348">
        <v>76</v>
      </c>
      <c r="K348">
        <v>0.56042618209879802</v>
      </c>
      <c r="L348">
        <v>1.4474076221828001</v>
      </c>
      <c r="M348">
        <v>0.248945400943203</v>
      </c>
      <c r="N348">
        <v>5655</v>
      </c>
      <c r="R348">
        <v>3823936</v>
      </c>
      <c r="T348">
        <v>3244634</v>
      </c>
    </row>
    <row r="349" spans="1:21" x14ac:dyDescent="0.3">
      <c r="A349" s="1">
        <v>45561</v>
      </c>
      <c r="B349">
        <v>122</v>
      </c>
      <c r="C349">
        <v>1909.6322502912401</v>
      </c>
      <c r="D349">
        <v>4483.0723670440802</v>
      </c>
      <c r="E349">
        <v>52</v>
      </c>
      <c r="F349">
        <v>52</v>
      </c>
      <c r="K349">
        <v>0.484325227825668</v>
      </c>
      <c r="L349">
        <v>1.4685142520265699</v>
      </c>
      <c r="M349">
        <v>0.29360924935814697</v>
      </c>
      <c r="N349">
        <v>6796</v>
      </c>
      <c r="R349">
        <v>2036482</v>
      </c>
      <c r="T349">
        <v>3836038</v>
      </c>
      <c r="U349">
        <v>66330</v>
      </c>
    </row>
    <row r="350" spans="1:21" x14ac:dyDescent="0.3">
      <c r="A350" s="1">
        <v>45562</v>
      </c>
      <c r="B350">
        <v>174</v>
      </c>
      <c r="C350">
        <v>2120.36955604475</v>
      </c>
      <c r="D350">
        <v>5928.2568866142701</v>
      </c>
      <c r="E350">
        <v>108</v>
      </c>
      <c r="F350">
        <v>108</v>
      </c>
      <c r="K350">
        <v>0.478307765085835</v>
      </c>
      <c r="L350">
        <v>1.6139267977765299</v>
      </c>
      <c r="M350">
        <v>0.26098599942946399</v>
      </c>
      <c r="N350">
        <v>8711</v>
      </c>
      <c r="R350">
        <v>4317631</v>
      </c>
      <c r="T350">
        <v>5326618</v>
      </c>
    </row>
    <row r="351" spans="1:21" x14ac:dyDescent="0.3">
      <c r="A351" s="1">
        <v>45563</v>
      </c>
      <c r="B351">
        <v>64</v>
      </c>
      <c r="C351">
        <v>1753.17318197124</v>
      </c>
      <c r="D351">
        <v>4018.4025202142302</v>
      </c>
      <c r="E351">
        <v>29</v>
      </c>
      <c r="F351">
        <v>29</v>
      </c>
      <c r="K351">
        <v>0.46262856613629999</v>
      </c>
      <c r="L351">
        <v>1.98142114770433</v>
      </c>
      <c r="M351">
        <v>0.26098599942946399</v>
      </c>
      <c r="N351">
        <v>5864</v>
      </c>
      <c r="T351">
        <v>3360580</v>
      </c>
    </row>
    <row r="352" spans="1:21" x14ac:dyDescent="0.3">
      <c r="A352" s="1">
        <v>45564</v>
      </c>
      <c r="B352">
        <v>43</v>
      </c>
      <c r="C352">
        <v>1694.3384175101401</v>
      </c>
      <c r="D352">
        <v>2244.2457780677601</v>
      </c>
      <c r="E352">
        <v>15</v>
      </c>
      <c r="F352">
        <v>15</v>
      </c>
      <c r="K352">
        <v>0.58824393679658105</v>
      </c>
      <c r="L352">
        <v>1.4371170374878099</v>
      </c>
      <c r="M352">
        <v>0.25027974897550198</v>
      </c>
      <c r="N352">
        <v>3420</v>
      </c>
      <c r="T352">
        <v>2305825</v>
      </c>
    </row>
    <row r="353" spans="1:21" x14ac:dyDescent="0.3">
      <c r="A353" s="1">
        <v>45565</v>
      </c>
      <c r="B353">
        <v>97</v>
      </c>
      <c r="C353">
        <v>1898.4266004173001</v>
      </c>
      <c r="D353">
        <v>4883.9025803969298</v>
      </c>
      <c r="E353">
        <v>47</v>
      </c>
      <c r="F353">
        <v>47</v>
      </c>
      <c r="K353">
        <v>0.40620450031133898</v>
      </c>
      <c r="L353">
        <v>1.4524496325570999</v>
      </c>
      <c r="M353">
        <v>0.27046872975237901</v>
      </c>
      <c r="N353">
        <v>7133</v>
      </c>
      <c r="R353">
        <v>924423</v>
      </c>
      <c r="T353">
        <v>4976609</v>
      </c>
    </row>
    <row r="354" spans="1:21" x14ac:dyDescent="0.3">
      <c r="A354" s="1">
        <v>45566</v>
      </c>
      <c r="B354">
        <v>1</v>
      </c>
      <c r="C354">
        <v>1565.74999999999</v>
      </c>
      <c r="D354">
        <v>48.2824098944509</v>
      </c>
      <c r="K354">
        <v>0.40924032063994198</v>
      </c>
      <c r="L354">
        <v>0.51178569431929999</v>
      </c>
      <c r="M354">
        <v>0.326232478407951</v>
      </c>
      <c r="N354">
        <v>176</v>
      </c>
    </row>
    <row r="355" spans="1:21" x14ac:dyDescent="0.3">
      <c r="A355" s="1">
        <v>45567</v>
      </c>
      <c r="B355">
        <v>84</v>
      </c>
      <c r="C355">
        <v>1802.8756127009499</v>
      </c>
      <c r="D355">
        <v>5610.4673202075701</v>
      </c>
      <c r="E355">
        <v>49</v>
      </c>
      <c r="F355">
        <v>37</v>
      </c>
      <c r="K355">
        <v>0.52802784933708102</v>
      </c>
      <c r="L355">
        <v>2.40104801735778</v>
      </c>
      <c r="M355">
        <v>0.26098599942946399</v>
      </c>
      <c r="N355">
        <v>7814</v>
      </c>
      <c r="T355">
        <v>4107927</v>
      </c>
    </row>
    <row r="356" spans="1:21" x14ac:dyDescent="0.3">
      <c r="A356" s="1">
        <v>45568</v>
      </c>
      <c r="B356">
        <v>24</v>
      </c>
      <c r="C356">
        <v>1608.81909254941</v>
      </c>
      <c r="D356">
        <v>995.77518922523598</v>
      </c>
      <c r="E356">
        <v>4</v>
      </c>
      <c r="F356">
        <v>4</v>
      </c>
      <c r="K356">
        <v>0.50963773258348399</v>
      </c>
      <c r="L356">
        <v>1.31214496319411</v>
      </c>
      <c r="M356">
        <v>0.28637039113317803</v>
      </c>
      <c r="N356">
        <v>1631</v>
      </c>
      <c r="T356">
        <v>772308</v>
      </c>
    </row>
    <row r="357" spans="1:21" x14ac:dyDescent="0.3">
      <c r="A357" s="1">
        <v>45569</v>
      </c>
      <c r="B357">
        <v>137</v>
      </c>
      <c r="C357">
        <v>1964.76905490735</v>
      </c>
      <c r="D357">
        <v>6686.2759635419598</v>
      </c>
      <c r="E357">
        <v>66</v>
      </c>
      <c r="F357">
        <v>61</v>
      </c>
      <c r="K357">
        <v>0.58639986236874697</v>
      </c>
      <c r="L357">
        <v>2.1419470798304499</v>
      </c>
      <c r="M357">
        <v>0.25011158278656997</v>
      </c>
      <c r="N357">
        <v>9630</v>
      </c>
      <c r="R357">
        <v>1322286</v>
      </c>
      <c r="T357">
        <v>5685865</v>
      </c>
    </row>
    <row r="358" spans="1:21" x14ac:dyDescent="0.3">
      <c r="A358" s="1">
        <v>45570</v>
      </c>
      <c r="B358">
        <v>79</v>
      </c>
      <c r="C358">
        <v>1735.3687546189201</v>
      </c>
      <c r="D358">
        <v>2761.9258840020502</v>
      </c>
      <c r="E358">
        <v>22</v>
      </c>
      <c r="F358">
        <v>22</v>
      </c>
      <c r="K358">
        <v>0.55049276330901098</v>
      </c>
      <c r="L358">
        <v>2.2675273316476301</v>
      </c>
      <c r="M358">
        <v>0.26098599942946399</v>
      </c>
      <c r="N358">
        <v>4263</v>
      </c>
      <c r="R358">
        <v>989886</v>
      </c>
      <c r="T358">
        <v>1982660</v>
      </c>
    </row>
    <row r="359" spans="1:21" x14ac:dyDescent="0.3">
      <c r="A359" s="1">
        <v>45571</v>
      </c>
      <c r="B359">
        <v>162</v>
      </c>
      <c r="C359">
        <v>2123.81961028363</v>
      </c>
      <c r="D359">
        <v>4952.8377089559299</v>
      </c>
      <c r="E359">
        <v>79</v>
      </c>
      <c r="F359">
        <v>79</v>
      </c>
      <c r="K359">
        <v>0.66905148242927703</v>
      </c>
      <c r="L359">
        <v>1.5204929377049901</v>
      </c>
      <c r="M359">
        <v>0.25211268883793198</v>
      </c>
      <c r="N359">
        <v>7466</v>
      </c>
      <c r="R359">
        <v>3630349</v>
      </c>
      <c r="T359">
        <v>6123694</v>
      </c>
    </row>
    <row r="360" spans="1:21" x14ac:dyDescent="0.3">
      <c r="A360" s="1">
        <v>45572</v>
      </c>
      <c r="B360">
        <v>99</v>
      </c>
      <c r="C360">
        <v>1852.7863304483201</v>
      </c>
      <c r="D360">
        <v>3022.0437910218502</v>
      </c>
      <c r="E360">
        <v>34</v>
      </c>
      <c r="F360">
        <v>34</v>
      </c>
      <c r="K360">
        <v>0.45369947575074099</v>
      </c>
      <c r="L360">
        <v>1.7117313545084201</v>
      </c>
      <c r="M360">
        <v>0.25011158278656997</v>
      </c>
      <c r="N360">
        <v>4930</v>
      </c>
      <c r="R360">
        <v>1842071</v>
      </c>
      <c r="T360">
        <v>3176558</v>
      </c>
    </row>
    <row r="361" spans="1:21" x14ac:dyDescent="0.3">
      <c r="A361" s="1">
        <v>45573</v>
      </c>
      <c r="B361">
        <v>101</v>
      </c>
      <c r="C361">
        <v>1858.9930526942701</v>
      </c>
      <c r="D361">
        <v>3274.7442432376101</v>
      </c>
      <c r="E361">
        <v>40</v>
      </c>
      <c r="F361">
        <v>40</v>
      </c>
      <c r="K361">
        <v>0.44543060698637299</v>
      </c>
      <c r="L361">
        <v>1.6140016846448899</v>
      </c>
      <c r="M361">
        <v>0.26098599942946399</v>
      </c>
      <c r="N361">
        <v>5139</v>
      </c>
      <c r="R361">
        <v>1892058</v>
      </c>
      <c r="T361">
        <v>3234382</v>
      </c>
    </row>
    <row r="362" spans="1:21" x14ac:dyDescent="0.3">
      <c r="A362" s="1">
        <v>45574</v>
      </c>
      <c r="B362">
        <v>165</v>
      </c>
      <c r="C362">
        <v>1961.1457967799099</v>
      </c>
      <c r="D362">
        <v>7777.05837425958</v>
      </c>
      <c r="E362">
        <v>52</v>
      </c>
      <c r="F362">
        <v>43</v>
      </c>
      <c r="K362">
        <v>0.69262078529995097</v>
      </c>
      <c r="L362">
        <v>2.60267299414557</v>
      </c>
      <c r="M362">
        <v>0.25011158278656997</v>
      </c>
      <c r="N362">
        <v>11423</v>
      </c>
      <c r="R362">
        <v>878333</v>
      </c>
      <c r="T362">
        <v>5509944</v>
      </c>
      <c r="U362">
        <v>279744</v>
      </c>
    </row>
    <row r="363" spans="1:21" x14ac:dyDescent="0.3">
      <c r="A363" s="1">
        <v>45575</v>
      </c>
      <c r="B363">
        <v>215</v>
      </c>
      <c r="C363">
        <v>2256.27283131486</v>
      </c>
      <c r="D363">
        <v>9500.0762406552694</v>
      </c>
      <c r="E363">
        <v>121</v>
      </c>
      <c r="F363">
        <v>121</v>
      </c>
      <c r="K363">
        <v>0.625047230026747</v>
      </c>
      <c r="L363">
        <v>1.6965031792751299</v>
      </c>
      <c r="M363">
        <v>0.25011158278656997</v>
      </c>
      <c r="N363">
        <v>13839</v>
      </c>
      <c r="R363">
        <v>3639118</v>
      </c>
      <c r="T363">
        <v>8489442</v>
      </c>
    </row>
    <row r="364" spans="1:21" x14ac:dyDescent="0.3">
      <c r="A364" s="1">
        <v>45576</v>
      </c>
      <c r="B364">
        <v>59</v>
      </c>
      <c r="C364">
        <v>1766.3100732190801</v>
      </c>
      <c r="D364">
        <v>1709.3923916204101</v>
      </c>
      <c r="E364">
        <v>31</v>
      </c>
      <c r="F364">
        <v>31</v>
      </c>
      <c r="K364">
        <v>0.47835053138990302</v>
      </c>
      <c r="L364">
        <v>1.433427702166</v>
      </c>
      <c r="M364">
        <v>0.271860416072358</v>
      </c>
      <c r="N364">
        <v>2743</v>
      </c>
      <c r="R364">
        <v>1649178</v>
      </c>
      <c r="T364">
        <v>1832226</v>
      </c>
    </row>
    <row r="365" spans="1:21" x14ac:dyDescent="0.3">
      <c r="A365" s="1">
        <v>45577</v>
      </c>
      <c r="B365">
        <v>134</v>
      </c>
      <c r="C365">
        <v>1986.5380461904099</v>
      </c>
      <c r="D365">
        <v>6809.00197527825</v>
      </c>
      <c r="E365">
        <v>86</v>
      </c>
      <c r="F365">
        <v>66</v>
      </c>
      <c r="K365">
        <v>0.60771879275378504</v>
      </c>
      <c r="L365">
        <v>2.4038001198344601</v>
      </c>
      <c r="M365">
        <v>0.271860416072358</v>
      </c>
      <c r="N365">
        <v>9686</v>
      </c>
      <c r="R365">
        <v>1717252</v>
      </c>
      <c r="T365">
        <v>5681926</v>
      </c>
    </row>
    <row r="366" spans="1:21" x14ac:dyDescent="0.3">
      <c r="A366" s="1">
        <v>45578</v>
      </c>
      <c r="B366">
        <v>61</v>
      </c>
      <c r="C366">
        <v>1738.43320118923</v>
      </c>
      <c r="D366">
        <v>665.09162638014197</v>
      </c>
      <c r="E366">
        <v>41</v>
      </c>
      <c r="F366">
        <v>41</v>
      </c>
      <c r="K366">
        <v>0.73597805617837697</v>
      </c>
      <c r="L366">
        <v>1.38162943098649</v>
      </c>
      <c r="M366">
        <v>0.25011158278656997</v>
      </c>
      <c r="N366">
        <v>1033</v>
      </c>
      <c r="R366">
        <v>2488187</v>
      </c>
      <c r="T366">
        <v>434824</v>
      </c>
    </row>
    <row r="367" spans="1:21" x14ac:dyDescent="0.3">
      <c r="A367" s="1">
        <v>45579</v>
      </c>
      <c r="B367">
        <v>69</v>
      </c>
      <c r="C367">
        <v>1740.5220113493399</v>
      </c>
      <c r="D367">
        <v>2569.43725260066</v>
      </c>
      <c r="E367">
        <v>13</v>
      </c>
      <c r="F367">
        <v>13</v>
      </c>
      <c r="K367">
        <v>0.43370761564803001</v>
      </c>
      <c r="L367">
        <v>1.45154221135251</v>
      </c>
      <c r="M367">
        <v>0.29360924935814697</v>
      </c>
      <c r="N367">
        <v>4037</v>
      </c>
      <c r="R367">
        <v>578004</v>
      </c>
      <c r="T367">
        <v>2515669</v>
      </c>
    </row>
    <row r="368" spans="1:21" x14ac:dyDescent="0.3">
      <c r="A368" s="1">
        <v>45580</v>
      </c>
      <c r="B368">
        <v>119</v>
      </c>
      <c r="C368">
        <v>1928.57176870688</v>
      </c>
      <c r="D368">
        <v>4746.5176241664103</v>
      </c>
      <c r="E368">
        <v>44</v>
      </c>
      <c r="F368">
        <v>44</v>
      </c>
      <c r="K368">
        <v>0.58431897496238705</v>
      </c>
      <c r="L368">
        <v>1.52061347653124</v>
      </c>
      <c r="M368">
        <v>0.25011158278656997</v>
      </c>
      <c r="N368">
        <v>7036</v>
      </c>
      <c r="R368">
        <v>1336624</v>
      </c>
      <c r="T368">
        <v>5076224</v>
      </c>
    </row>
    <row r="369" spans="1:21" x14ac:dyDescent="0.3">
      <c r="A369" s="1">
        <v>45581</v>
      </c>
      <c r="B369">
        <v>64</v>
      </c>
      <c r="C369">
        <v>1758.39731653281</v>
      </c>
      <c r="D369">
        <v>2941.31510469573</v>
      </c>
      <c r="E369">
        <v>22</v>
      </c>
      <c r="F369">
        <v>22</v>
      </c>
      <c r="K369">
        <v>0.46096935572653303</v>
      </c>
      <c r="L369">
        <v>1.6063684700916301</v>
      </c>
      <c r="M369">
        <v>0.26098599942946399</v>
      </c>
      <c r="N369">
        <v>4668</v>
      </c>
      <c r="R369">
        <v>659127</v>
      </c>
      <c r="T369">
        <v>2749427</v>
      </c>
    </row>
    <row r="370" spans="1:21" x14ac:dyDescent="0.3">
      <c r="A370" s="1">
        <v>45582</v>
      </c>
      <c r="B370">
        <v>15</v>
      </c>
      <c r="C370">
        <v>1605.38423299189</v>
      </c>
      <c r="D370">
        <v>556.15762466356</v>
      </c>
      <c r="K370">
        <v>0.40019569996565202</v>
      </c>
      <c r="L370">
        <v>1.2503024574335999</v>
      </c>
      <c r="M370">
        <v>0.24879421099895299</v>
      </c>
      <c r="N370">
        <v>1035</v>
      </c>
      <c r="T370">
        <v>710714</v>
      </c>
    </row>
    <row r="371" spans="1:21" x14ac:dyDescent="0.3">
      <c r="A371" s="1">
        <v>45583</v>
      </c>
      <c r="B371">
        <v>156</v>
      </c>
      <c r="C371">
        <v>1970.57900087911</v>
      </c>
      <c r="D371">
        <v>5589.7487527296998</v>
      </c>
      <c r="E371">
        <v>78</v>
      </c>
      <c r="F371">
        <v>68</v>
      </c>
      <c r="K371">
        <v>0.49427028738210899</v>
      </c>
      <c r="L371">
        <v>2.4241999260608802</v>
      </c>
      <c r="M371">
        <v>0.26098599942946399</v>
      </c>
      <c r="N371">
        <v>7991</v>
      </c>
      <c r="R371">
        <v>2851428</v>
      </c>
      <c r="T371">
        <v>4150844</v>
      </c>
    </row>
    <row r="372" spans="1:21" x14ac:dyDescent="0.3">
      <c r="A372" s="1">
        <v>45584</v>
      </c>
      <c r="B372">
        <v>65</v>
      </c>
      <c r="C372">
        <v>1855.62199199003</v>
      </c>
      <c r="D372">
        <v>1814.9514740536599</v>
      </c>
      <c r="E372">
        <v>33</v>
      </c>
      <c r="F372">
        <v>33</v>
      </c>
      <c r="K372">
        <v>0.57221058236112399</v>
      </c>
      <c r="L372">
        <v>1.6389984634824899</v>
      </c>
      <c r="M372">
        <v>0.25011158278656997</v>
      </c>
      <c r="N372">
        <v>3077</v>
      </c>
      <c r="R372">
        <v>1766331</v>
      </c>
      <c r="T372">
        <v>3231014</v>
      </c>
      <c r="U372">
        <v>33803</v>
      </c>
    </row>
    <row r="373" spans="1:21" x14ac:dyDescent="0.3">
      <c r="A373" s="1">
        <v>45585</v>
      </c>
      <c r="B373">
        <v>100</v>
      </c>
      <c r="C373">
        <v>1652.7109086838</v>
      </c>
      <c r="D373">
        <v>4066.98998581653</v>
      </c>
      <c r="E373">
        <v>3</v>
      </c>
      <c r="F373">
        <v>3</v>
      </c>
      <c r="K373">
        <v>0.43666406496194698</v>
      </c>
      <c r="L373">
        <v>1.5537676317932001</v>
      </c>
      <c r="M373">
        <v>0.28273483271525301</v>
      </c>
      <c r="N373">
        <v>6622</v>
      </c>
      <c r="T373">
        <v>1559367</v>
      </c>
    </row>
    <row r="374" spans="1:21" x14ac:dyDescent="0.3">
      <c r="A374" s="1">
        <v>45586</v>
      </c>
      <c r="B374">
        <v>144</v>
      </c>
      <c r="C374">
        <v>2033.5051970679699</v>
      </c>
      <c r="D374">
        <v>5616.8665313679503</v>
      </c>
      <c r="E374">
        <v>73</v>
      </c>
      <c r="F374">
        <v>73</v>
      </c>
      <c r="K374">
        <v>0.54326241798420205</v>
      </c>
      <c r="L374">
        <v>1.6130178035060001</v>
      </c>
      <c r="M374">
        <v>0.26635536297512902</v>
      </c>
      <c r="N374">
        <v>8150</v>
      </c>
      <c r="R374">
        <v>2593345</v>
      </c>
      <c r="T374">
        <v>5613512</v>
      </c>
    </row>
    <row r="375" spans="1:21" x14ac:dyDescent="0.3">
      <c r="A375" s="1">
        <v>45587</v>
      </c>
      <c r="B375">
        <v>97</v>
      </c>
      <c r="C375">
        <v>1838.99442533765</v>
      </c>
      <c r="D375">
        <v>2938.2115077017902</v>
      </c>
      <c r="E375">
        <v>48</v>
      </c>
      <c r="F375">
        <v>48</v>
      </c>
      <c r="K375">
        <v>0.58030943140983604</v>
      </c>
      <c r="L375">
        <v>1.4556607737874701</v>
      </c>
      <c r="M375">
        <v>0.25011158278656997</v>
      </c>
      <c r="N375">
        <v>4483</v>
      </c>
      <c r="R375">
        <v>2333477</v>
      </c>
      <c r="T375">
        <v>2403569</v>
      </c>
    </row>
    <row r="376" spans="1:21" x14ac:dyDescent="0.3">
      <c r="A376" s="1">
        <v>45588</v>
      </c>
      <c r="B376">
        <v>88</v>
      </c>
      <c r="C376">
        <v>1851.5812218639501</v>
      </c>
      <c r="D376">
        <v>3124.15595112138</v>
      </c>
      <c r="E376">
        <v>40</v>
      </c>
      <c r="F376">
        <v>40</v>
      </c>
      <c r="K376">
        <v>0.55450351065077996</v>
      </c>
      <c r="L376">
        <v>2.10830079365949</v>
      </c>
      <c r="M376">
        <v>0.25011158278656997</v>
      </c>
      <c r="N376">
        <v>4807</v>
      </c>
      <c r="R376">
        <v>1669206</v>
      </c>
      <c r="T376">
        <v>3339867</v>
      </c>
    </row>
    <row r="377" spans="1:21" x14ac:dyDescent="0.3">
      <c r="A377" s="1">
        <v>45589</v>
      </c>
      <c r="B377">
        <v>88</v>
      </c>
      <c r="C377">
        <v>1858.5572261573</v>
      </c>
      <c r="D377">
        <v>3675.9663888916898</v>
      </c>
      <c r="E377">
        <v>41</v>
      </c>
      <c r="F377">
        <v>41</v>
      </c>
      <c r="K377">
        <v>0.93587600911817503</v>
      </c>
      <c r="L377">
        <v>1.7500700887988001</v>
      </c>
      <c r="M377">
        <v>0.25011158278656997</v>
      </c>
      <c r="N377">
        <v>5534</v>
      </c>
      <c r="R377">
        <v>1337537</v>
      </c>
      <c r="T377">
        <v>3819756</v>
      </c>
    </row>
    <row r="378" spans="1:21" x14ac:dyDescent="0.3">
      <c r="A378" s="1">
        <v>45590</v>
      </c>
      <c r="B378">
        <v>130</v>
      </c>
      <c r="C378">
        <v>1959.09295238155</v>
      </c>
      <c r="D378">
        <v>4722.3762106232998</v>
      </c>
      <c r="E378">
        <v>58</v>
      </c>
      <c r="F378">
        <v>58</v>
      </c>
      <c r="K378">
        <v>0.51622699277055095</v>
      </c>
      <c r="L378">
        <v>1.52093083418982</v>
      </c>
      <c r="M378">
        <v>0.25011158278656997</v>
      </c>
      <c r="N378">
        <v>7203</v>
      </c>
      <c r="R378">
        <v>2367310</v>
      </c>
      <c r="T378">
        <v>4520964</v>
      </c>
    </row>
    <row r="379" spans="1:21" x14ac:dyDescent="0.3">
      <c r="A379" s="1">
        <v>45591</v>
      </c>
      <c r="B379">
        <v>70</v>
      </c>
      <c r="C379">
        <v>1701.87509109807</v>
      </c>
      <c r="D379">
        <v>2558.1464039348398</v>
      </c>
      <c r="E379">
        <v>15</v>
      </c>
      <c r="F379">
        <v>15</v>
      </c>
      <c r="K379">
        <v>0.54991241828399995</v>
      </c>
      <c r="L379">
        <v>1.6300180957858701</v>
      </c>
      <c r="M379">
        <v>0.26098599942946399</v>
      </c>
      <c r="N379">
        <v>4030</v>
      </c>
      <c r="R379">
        <v>614566</v>
      </c>
      <c r="T379">
        <v>1783549</v>
      </c>
    </row>
    <row r="380" spans="1:21" x14ac:dyDescent="0.3">
      <c r="A380" s="1">
        <v>45592</v>
      </c>
      <c r="B380">
        <v>56</v>
      </c>
      <c r="C380">
        <v>1732.2061338319199</v>
      </c>
      <c r="D380">
        <v>3013.5457077504502</v>
      </c>
      <c r="E380">
        <v>20</v>
      </c>
      <c r="F380">
        <v>20</v>
      </c>
      <c r="K380">
        <v>0.400985575939244</v>
      </c>
      <c r="L380">
        <v>1.4050260926279099</v>
      </c>
      <c r="M380">
        <v>0.271860416072358</v>
      </c>
      <c r="N380">
        <v>4656</v>
      </c>
      <c r="T380">
        <v>2984863</v>
      </c>
    </row>
    <row r="381" spans="1:21" x14ac:dyDescent="0.3">
      <c r="A381" s="1">
        <v>45593</v>
      </c>
      <c r="B381">
        <v>109</v>
      </c>
      <c r="C381">
        <v>1908.98477491112</v>
      </c>
      <c r="D381">
        <v>3749.3865463162401</v>
      </c>
      <c r="E381">
        <v>54</v>
      </c>
      <c r="F381">
        <v>54</v>
      </c>
      <c r="K381">
        <v>0.46177585465139398</v>
      </c>
      <c r="L381">
        <v>1.4486839064291199</v>
      </c>
      <c r="M381">
        <v>0.266680311008892</v>
      </c>
      <c r="N381">
        <v>5639</v>
      </c>
      <c r="R381">
        <v>2223768</v>
      </c>
      <c r="T381">
        <v>3775985</v>
      </c>
    </row>
    <row r="382" spans="1:21" x14ac:dyDescent="0.3">
      <c r="A382" s="1">
        <v>45594</v>
      </c>
      <c r="C382">
        <v>1570.84423980613</v>
      </c>
      <c r="D382">
        <v>79.600729825986605</v>
      </c>
      <c r="K382">
        <v>0.38102050131561999</v>
      </c>
      <c r="L382">
        <v>0.45889356756075</v>
      </c>
      <c r="M382">
        <v>0.26098599942946399</v>
      </c>
      <c r="N382">
        <v>231</v>
      </c>
      <c r="T382">
        <v>91349</v>
      </c>
    </row>
    <row r="383" spans="1:21" x14ac:dyDescent="0.3">
      <c r="A383" s="1">
        <v>45595</v>
      </c>
      <c r="B383">
        <v>102</v>
      </c>
      <c r="C383">
        <v>1762.56594341447</v>
      </c>
      <c r="D383">
        <v>5135.2988944687104</v>
      </c>
      <c r="E383">
        <v>52</v>
      </c>
      <c r="F383">
        <v>32</v>
      </c>
      <c r="K383">
        <v>0.45941763654108603</v>
      </c>
      <c r="L383">
        <v>2.3367783416637899</v>
      </c>
      <c r="M383">
        <v>0.28273483271525301</v>
      </c>
      <c r="N383">
        <v>6999</v>
      </c>
      <c r="T383">
        <v>3453074</v>
      </c>
    </row>
    <row r="384" spans="1:21" x14ac:dyDescent="0.3">
      <c r="A384" s="1">
        <v>45596</v>
      </c>
      <c r="B384">
        <v>47</v>
      </c>
      <c r="C384">
        <v>1725.6176260059999</v>
      </c>
      <c r="D384">
        <v>2810.1839380868801</v>
      </c>
      <c r="E384">
        <v>16</v>
      </c>
      <c r="F384">
        <v>16</v>
      </c>
      <c r="K384">
        <v>0.44245770408280799</v>
      </c>
      <c r="L384">
        <v>1.7522174968192501</v>
      </c>
      <c r="M384">
        <v>0.25193109135531699</v>
      </c>
      <c r="N384">
        <v>4299</v>
      </c>
      <c r="T384">
        <v>2866719</v>
      </c>
    </row>
    <row r="385" spans="1:21" x14ac:dyDescent="0.3">
      <c r="A385" s="1">
        <v>45597</v>
      </c>
      <c r="B385">
        <v>119</v>
      </c>
      <c r="C385">
        <v>1728.83953149183</v>
      </c>
      <c r="D385">
        <v>5079.5670045472098</v>
      </c>
      <c r="E385">
        <v>33</v>
      </c>
      <c r="F385">
        <v>19</v>
      </c>
      <c r="K385">
        <v>0.44839874536843199</v>
      </c>
      <c r="L385">
        <v>2.2717521137529002</v>
      </c>
      <c r="M385">
        <v>0.271860416072358</v>
      </c>
      <c r="N385">
        <v>7547</v>
      </c>
      <c r="T385">
        <v>2611052</v>
      </c>
      <c r="U385">
        <v>136868</v>
      </c>
    </row>
    <row r="386" spans="1:21" x14ac:dyDescent="0.3">
      <c r="A386" s="1">
        <v>45598</v>
      </c>
      <c r="B386">
        <v>32</v>
      </c>
      <c r="C386">
        <v>1651.3852701388801</v>
      </c>
      <c r="D386">
        <v>685.43414036007005</v>
      </c>
      <c r="E386">
        <v>12</v>
      </c>
      <c r="F386">
        <v>12</v>
      </c>
      <c r="K386">
        <v>0.36672195937417101</v>
      </c>
      <c r="L386">
        <v>1.0007415577738299</v>
      </c>
      <c r="M386">
        <v>0.30448366600104099</v>
      </c>
      <c r="N386">
        <v>1255</v>
      </c>
      <c r="R386">
        <v>802990</v>
      </c>
      <c r="T386">
        <v>676610</v>
      </c>
    </row>
    <row r="387" spans="1:21" x14ac:dyDescent="0.3">
      <c r="A387" s="1">
        <v>45599</v>
      </c>
      <c r="B387">
        <v>73</v>
      </c>
      <c r="C387">
        <v>1758.72878086581</v>
      </c>
      <c r="D387">
        <v>3864.6222211494401</v>
      </c>
      <c r="E387">
        <v>24</v>
      </c>
      <c r="F387">
        <v>23</v>
      </c>
      <c r="K387">
        <v>0.58779518763577099</v>
      </c>
      <c r="L387">
        <v>1.9648941795383901</v>
      </c>
      <c r="M387">
        <v>0.26098599942946399</v>
      </c>
      <c r="N387">
        <v>5711</v>
      </c>
      <c r="T387">
        <v>3460460</v>
      </c>
    </row>
    <row r="388" spans="1:21" x14ac:dyDescent="0.3">
      <c r="A388" s="1">
        <v>45600</v>
      </c>
      <c r="B388">
        <v>152</v>
      </c>
      <c r="C388">
        <v>2035.4387956016999</v>
      </c>
      <c r="D388">
        <v>5760.5792783426296</v>
      </c>
      <c r="E388">
        <v>77</v>
      </c>
      <c r="F388">
        <v>73</v>
      </c>
      <c r="K388">
        <v>0.50777335738343699</v>
      </c>
      <c r="L388">
        <v>2.2362404864025298</v>
      </c>
      <c r="M388">
        <v>0.26098599942946399</v>
      </c>
      <c r="N388">
        <v>8394</v>
      </c>
      <c r="R388">
        <v>2716483</v>
      </c>
      <c r="T388">
        <v>5455329</v>
      </c>
    </row>
    <row r="389" spans="1:21" x14ac:dyDescent="0.3">
      <c r="A389" s="1">
        <v>45601</v>
      </c>
      <c r="B389">
        <v>189</v>
      </c>
      <c r="C389">
        <v>2234.7943624733798</v>
      </c>
      <c r="D389">
        <v>10064.440988528801</v>
      </c>
      <c r="E389">
        <v>149</v>
      </c>
      <c r="F389">
        <v>126</v>
      </c>
      <c r="K389">
        <v>0.58695629460813303</v>
      </c>
      <c r="L389">
        <v>2.3191369763992502</v>
      </c>
      <c r="M389">
        <v>0.26098599942946399</v>
      </c>
      <c r="N389">
        <v>13951</v>
      </c>
      <c r="R389">
        <v>3156290</v>
      </c>
      <c r="T389">
        <v>8504497</v>
      </c>
    </row>
    <row r="390" spans="1:21" x14ac:dyDescent="0.3">
      <c r="A390" s="1">
        <v>45602</v>
      </c>
      <c r="B390">
        <v>82</v>
      </c>
      <c r="C390">
        <v>1789.53440828162</v>
      </c>
      <c r="D390">
        <v>3796.9138256153601</v>
      </c>
      <c r="E390">
        <v>26</v>
      </c>
      <c r="F390">
        <v>26</v>
      </c>
      <c r="K390">
        <v>0.52176749098455799</v>
      </c>
      <c r="L390">
        <v>1.5265427962423399</v>
      </c>
      <c r="M390">
        <v>0.24901800068987201</v>
      </c>
      <c r="N390">
        <v>5715</v>
      </c>
      <c r="R390">
        <v>473340</v>
      </c>
      <c r="T390">
        <v>3506515</v>
      </c>
    </row>
    <row r="391" spans="1:21" x14ac:dyDescent="0.3">
      <c r="A391" s="1">
        <v>45603</v>
      </c>
      <c r="B391">
        <v>158</v>
      </c>
      <c r="C391">
        <v>2001.26932905954</v>
      </c>
      <c r="D391">
        <v>7373.3748951043399</v>
      </c>
      <c r="E391">
        <v>44</v>
      </c>
      <c r="F391">
        <v>44</v>
      </c>
      <c r="K391">
        <v>0.614031692407083</v>
      </c>
      <c r="L391">
        <v>1.6391023917099099</v>
      </c>
      <c r="M391">
        <v>0.24922366156928699</v>
      </c>
      <c r="N391">
        <v>11141</v>
      </c>
      <c r="R391">
        <v>945377</v>
      </c>
      <c r="T391">
        <v>6798210</v>
      </c>
    </row>
    <row r="392" spans="1:21" x14ac:dyDescent="0.3">
      <c r="A392" s="1">
        <v>45604</v>
      </c>
      <c r="B392">
        <v>183</v>
      </c>
      <c r="C392">
        <v>2182.3525916697799</v>
      </c>
      <c r="D392">
        <v>7726.0443849458397</v>
      </c>
      <c r="E392">
        <v>90</v>
      </c>
      <c r="F392">
        <v>90</v>
      </c>
      <c r="K392">
        <v>0.62667608812056896</v>
      </c>
      <c r="L392">
        <v>1.54444422501103</v>
      </c>
      <c r="M392">
        <v>0.32276915198286599</v>
      </c>
      <c r="N392">
        <v>11238</v>
      </c>
      <c r="R392">
        <v>2731281</v>
      </c>
      <c r="T392">
        <v>8135064</v>
      </c>
    </row>
    <row r="393" spans="1:21" x14ac:dyDescent="0.3">
      <c r="A393" s="1">
        <v>45605</v>
      </c>
      <c r="B393">
        <v>179</v>
      </c>
      <c r="C393">
        <v>2159.117614711</v>
      </c>
      <c r="D393">
        <v>8346.1546366330404</v>
      </c>
      <c r="E393">
        <v>97</v>
      </c>
      <c r="F393">
        <v>97</v>
      </c>
      <c r="K393">
        <v>0.66193445924145899</v>
      </c>
      <c r="L393">
        <v>1.48043396159192</v>
      </c>
      <c r="M393">
        <v>0.25011158278656997</v>
      </c>
      <c r="N393">
        <v>12098</v>
      </c>
      <c r="R393">
        <v>2667231</v>
      </c>
      <c r="T393">
        <v>7786933</v>
      </c>
    </row>
    <row r="394" spans="1:21" x14ac:dyDescent="0.3">
      <c r="A394" s="1">
        <v>45606</v>
      </c>
      <c r="B394">
        <v>37</v>
      </c>
      <c r="C394">
        <v>1706.5773609753301</v>
      </c>
      <c r="D394">
        <v>2240.1295796352501</v>
      </c>
      <c r="E394">
        <v>17</v>
      </c>
      <c r="F394">
        <v>17</v>
      </c>
      <c r="K394">
        <v>0.38574463096163802</v>
      </c>
      <c r="L394">
        <v>1.41289550939104</v>
      </c>
      <c r="M394">
        <v>0.25011158278656997</v>
      </c>
      <c r="N394">
        <v>3361</v>
      </c>
      <c r="T394">
        <v>2525292</v>
      </c>
    </row>
    <row r="395" spans="1:21" x14ac:dyDescent="0.3">
      <c r="A395" s="1">
        <v>45607</v>
      </c>
      <c r="B395">
        <v>92</v>
      </c>
      <c r="C395">
        <v>1807.11276321946</v>
      </c>
      <c r="D395">
        <v>2988.15422689046</v>
      </c>
      <c r="E395">
        <v>33</v>
      </c>
      <c r="F395">
        <v>33</v>
      </c>
      <c r="K395">
        <v>0.637719350787748</v>
      </c>
      <c r="L395">
        <v>1.4141465007979599</v>
      </c>
      <c r="M395">
        <v>0.32623246588062499</v>
      </c>
      <c r="N395">
        <v>4631</v>
      </c>
      <c r="R395">
        <v>1664866</v>
      </c>
      <c r="T395">
        <v>2547110</v>
      </c>
    </row>
    <row r="396" spans="1:21" x14ac:dyDescent="0.3">
      <c r="A396" s="1">
        <v>45608</v>
      </c>
      <c r="B396">
        <v>22</v>
      </c>
      <c r="C396">
        <v>1638.48369237618</v>
      </c>
      <c r="D396">
        <v>1032.6490560028001</v>
      </c>
      <c r="E396">
        <v>3</v>
      </c>
      <c r="F396">
        <v>3</v>
      </c>
      <c r="K396">
        <v>0.37105716394126398</v>
      </c>
      <c r="L396">
        <v>1.60953366923026</v>
      </c>
      <c r="M396">
        <v>0.259732113793886</v>
      </c>
      <c r="N396">
        <v>1691</v>
      </c>
      <c r="T396">
        <v>1304248</v>
      </c>
    </row>
    <row r="397" spans="1:21" x14ac:dyDescent="0.3">
      <c r="A397" s="1">
        <v>45609</v>
      </c>
      <c r="B397">
        <v>96</v>
      </c>
      <c r="C397">
        <v>1868.2789735884501</v>
      </c>
      <c r="D397">
        <v>3056.6336722024498</v>
      </c>
      <c r="E397">
        <v>52</v>
      </c>
      <c r="F397">
        <v>52</v>
      </c>
      <c r="K397">
        <v>0.50118283101855898</v>
      </c>
      <c r="L397">
        <v>1.5871554708396101</v>
      </c>
      <c r="M397">
        <v>0.27844637446555998</v>
      </c>
      <c r="N397">
        <v>4672</v>
      </c>
      <c r="R397">
        <v>2274224</v>
      </c>
      <c r="T397">
        <v>2992080</v>
      </c>
    </row>
    <row r="398" spans="1:21" x14ac:dyDescent="0.3">
      <c r="A398" s="1">
        <v>45610</v>
      </c>
      <c r="B398">
        <v>119</v>
      </c>
      <c r="C398">
        <v>1900.2898958199701</v>
      </c>
      <c r="D398">
        <v>5129.0192220173903</v>
      </c>
      <c r="E398">
        <v>66</v>
      </c>
      <c r="F398">
        <v>65</v>
      </c>
      <c r="K398">
        <v>0.62092962375713701</v>
      </c>
      <c r="L398">
        <v>1.7614451609670301</v>
      </c>
      <c r="M398">
        <v>0.24849895593641</v>
      </c>
      <c r="N398">
        <v>7474</v>
      </c>
      <c r="R398">
        <v>2081737</v>
      </c>
      <c r="T398">
        <v>3772005</v>
      </c>
    </row>
    <row r="399" spans="1:21" x14ac:dyDescent="0.3">
      <c r="A399" s="1">
        <v>45611</v>
      </c>
      <c r="B399">
        <v>1</v>
      </c>
      <c r="C399">
        <v>1565.75</v>
      </c>
      <c r="D399">
        <v>107.656724764654</v>
      </c>
      <c r="K399">
        <v>0.31581920549199999</v>
      </c>
      <c r="L399">
        <v>0.62609840985356402</v>
      </c>
      <c r="M399">
        <v>0.28273483271525301</v>
      </c>
      <c r="N399">
        <v>232</v>
      </c>
    </row>
    <row r="400" spans="1:21" x14ac:dyDescent="0.3">
      <c r="A400" s="1">
        <v>45612</v>
      </c>
      <c r="B400">
        <v>77</v>
      </c>
      <c r="C400">
        <v>1799.6188361857901</v>
      </c>
      <c r="D400">
        <v>2648.3735444598501</v>
      </c>
      <c r="E400">
        <v>42</v>
      </c>
      <c r="F400">
        <v>42</v>
      </c>
      <c r="K400">
        <v>0.64511397235756096</v>
      </c>
      <c r="L400">
        <v>1.4693784981005</v>
      </c>
      <c r="M400">
        <v>0.24669015625516999</v>
      </c>
      <c r="N400">
        <v>4088</v>
      </c>
      <c r="R400">
        <v>1823860</v>
      </c>
      <c r="T400">
        <v>2242648</v>
      </c>
    </row>
    <row r="401" spans="1:21" x14ac:dyDescent="0.3">
      <c r="A401" s="1">
        <v>45613</v>
      </c>
      <c r="B401">
        <v>31</v>
      </c>
      <c r="C401">
        <v>1621.0831168233599</v>
      </c>
      <c r="D401">
        <v>1224.47083569193</v>
      </c>
      <c r="E401">
        <v>4</v>
      </c>
      <c r="F401">
        <v>4</v>
      </c>
      <c r="K401">
        <v>0.44821341709648299</v>
      </c>
      <c r="L401">
        <v>1.35593334441568</v>
      </c>
      <c r="M401">
        <v>0.26098599942946399</v>
      </c>
      <c r="N401">
        <v>2020</v>
      </c>
      <c r="T401">
        <v>992224</v>
      </c>
    </row>
    <row r="402" spans="1:21" x14ac:dyDescent="0.3">
      <c r="A402" s="1">
        <v>45614</v>
      </c>
      <c r="B402">
        <v>72</v>
      </c>
      <c r="C402">
        <v>1763.43579804666</v>
      </c>
      <c r="D402">
        <v>2093.5973256195098</v>
      </c>
      <c r="E402">
        <v>17</v>
      </c>
      <c r="F402">
        <v>17</v>
      </c>
      <c r="K402">
        <v>0.43934452718480999</v>
      </c>
      <c r="L402">
        <v>1.4099101256872999</v>
      </c>
      <c r="M402">
        <v>0.28273483271525301</v>
      </c>
      <c r="N402">
        <v>3269</v>
      </c>
      <c r="R402">
        <v>1090767</v>
      </c>
      <c r="T402">
        <v>2378032</v>
      </c>
    </row>
    <row r="403" spans="1:21" x14ac:dyDescent="0.3">
      <c r="A403" s="1">
        <v>45615</v>
      </c>
      <c r="B403">
        <v>57</v>
      </c>
      <c r="C403">
        <v>1740.70589464319</v>
      </c>
      <c r="D403">
        <v>1758.0982731341801</v>
      </c>
      <c r="E403">
        <v>30</v>
      </c>
      <c r="F403">
        <v>30</v>
      </c>
      <c r="K403">
        <v>0.44207728940323898</v>
      </c>
      <c r="L403">
        <v>1.6543376799926499</v>
      </c>
      <c r="M403">
        <v>0.271860416072358</v>
      </c>
      <c r="N403">
        <v>2737</v>
      </c>
      <c r="R403">
        <v>1626444</v>
      </c>
      <c r="T403">
        <v>1397415</v>
      </c>
    </row>
    <row r="404" spans="1:21" x14ac:dyDescent="0.3">
      <c r="A404" s="1">
        <v>45616</v>
      </c>
      <c r="B404">
        <v>183</v>
      </c>
      <c r="C404">
        <v>2118.9879925640098</v>
      </c>
      <c r="D404">
        <v>9427.4864187597996</v>
      </c>
      <c r="E404">
        <v>80</v>
      </c>
      <c r="F404">
        <v>80</v>
      </c>
      <c r="K404">
        <v>0.76218265548081199</v>
      </c>
      <c r="L404">
        <v>1.5044248783582801</v>
      </c>
      <c r="M404">
        <v>0.25011158278656997</v>
      </c>
      <c r="N404">
        <v>13837</v>
      </c>
      <c r="R404">
        <v>960318</v>
      </c>
      <c r="T404">
        <v>8738455</v>
      </c>
      <c r="U404">
        <v>67607</v>
      </c>
    </row>
    <row r="405" spans="1:21" x14ac:dyDescent="0.3">
      <c r="A405" s="1">
        <v>45617</v>
      </c>
      <c r="B405">
        <v>90</v>
      </c>
      <c r="C405">
        <v>1794.23758312165</v>
      </c>
      <c r="D405">
        <v>3855.0580294937099</v>
      </c>
      <c r="E405">
        <v>40</v>
      </c>
      <c r="F405">
        <v>40</v>
      </c>
      <c r="K405">
        <v>0.597778376894335</v>
      </c>
      <c r="L405">
        <v>1.6013431509903799</v>
      </c>
      <c r="M405">
        <v>0.24839536162935999</v>
      </c>
      <c r="N405">
        <v>5797</v>
      </c>
      <c r="R405">
        <v>1261791</v>
      </c>
      <c r="T405">
        <v>2747417</v>
      </c>
    </row>
    <row r="406" spans="1:21" x14ac:dyDescent="0.3">
      <c r="A406" s="1">
        <v>45618</v>
      </c>
      <c r="B406">
        <v>86</v>
      </c>
      <c r="C406">
        <v>1783.56922613752</v>
      </c>
      <c r="D406">
        <v>3577.3434589448698</v>
      </c>
      <c r="E406">
        <v>19</v>
      </c>
      <c r="F406">
        <v>19</v>
      </c>
      <c r="K406">
        <v>0.41792407597338699</v>
      </c>
      <c r="L406">
        <v>1.5749600381637501</v>
      </c>
      <c r="M406">
        <v>0.25011158278656997</v>
      </c>
      <c r="N406">
        <v>5411</v>
      </c>
      <c r="R406">
        <v>591035</v>
      </c>
      <c r="T406">
        <v>3273645</v>
      </c>
    </row>
    <row r="407" spans="1:21" x14ac:dyDescent="0.3">
      <c r="A407" s="1">
        <v>45619</v>
      </c>
      <c r="B407">
        <v>145</v>
      </c>
      <c r="C407">
        <v>1974.0056546261001</v>
      </c>
      <c r="D407">
        <v>5925.9954365415197</v>
      </c>
      <c r="E407">
        <v>51</v>
      </c>
      <c r="F407">
        <v>51</v>
      </c>
      <c r="K407">
        <v>0.60383925330504695</v>
      </c>
      <c r="L407">
        <v>1.4564448351905901</v>
      </c>
      <c r="M407">
        <v>0.25011158278656997</v>
      </c>
      <c r="N407">
        <v>8938</v>
      </c>
      <c r="R407">
        <v>1846464</v>
      </c>
      <c r="T407">
        <v>5345540</v>
      </c>
    </row>
    <row r="408" spans="1:21" x14ac:dyDescent="0.3">
      <c r="A408" s="1">
        <v>45620</v>
      </c>
      <c r="B408">
        <v>3</v>
      </c>
      <c r="C408">
        <v>1581.8524911197901</v>
      </c>
      <c r="D408">
        <v>118.748629740406</v>
      </c>
      <c r="K408">
        <v>0.31813061226900502</v>
      </c>
      <c r="L408">
        <v>0.32623247820524398</v>
      </c>
      <c r="M408">
        <v>0.271860416072358</v>
      </c>
      <c r="N408">
        <v>206</v>
      </c>
      <c r="T408">
        <v>288747</v>
      </c>
    </row>
    <row r="409" spans="1:21" x14ac:dyDescent="0.3">
      <c r="A409" s="1">
        <v>45621</v>
      </c>
      <c r="B409">
        <v>141</v>
      </c>
      <c r="C409">
        <v>1953.43696266085</v>
      </c>
      <c r="D409">
        <v>5617.8058812314102</v>
      </c>
      <c r="E409">
        <v>73</v>
      </c>
      <c r="F409">
        <v>73</v>
      </c>
      <c r="K409">
        <v>0.63813811695340295</v>
      </c>
      <c r="L409">
        <v>1.5952984733133599</v>
      </c>
      <c r="M409">
        <v>0.26080687619758303</v>
      </c>
      <c r="N409">
        <v>8362</v>
      </c>
      <c r="R409">
        <v>2594934</v>
      </c>
      <c r="T409">
        <v>4176042</v>
      </c>
    </row>
    <row r="410" spans="1:21" x14ac:dyDescent="0.3">
      <c r="A410" s="1">
        <v>45622</v>
      </c>
      <c r="B410">
        <v>89</v>
      </c>
      <c r="C410">
        <v>1832.1318234436201</v>
      </c>
      <c r="D410">
        <v>2996.7138922416998</v>
      </c>
      <c r="E410">
        <v>40</v>
      </c>
      <c r="F410">
        <v>40</v>
      </c>
      <c r="K410">
        <v>0.445291174427212</v>
      </c>
      <c r="L410">
        <v>1.48027628922677</v>
      </c>
      <c r="M410">
        <v>0.25011158278656997</v>
      </c>
      <c r="N410">
        <v>4684</v>
      </c>
      <c r="R410">
        <v>1716992</v>
      </c>
      <c r="T410">
        <v>2939986</v>
      </c>
    </row>
    <row r="411" spans="1:21" x14ac:dyDescent="0.3">
      <c r="A411" s="1">
        <v>45623</v>
      </c>
      <c r="B411">
        <v>84</v>
      </c>
      <c r="C411">
        <v>1768.3016101629401</v>
      </c>
      <c r="D411">
        <v>2604.0580308980002</v>
      </c>
      <c r="E411">
        <v>43</v>
      </c>
      <c r="F411">
        <v>43</v>
      </c>
      <c r="K411">
        <v>0.56253270232067798</v>
      </c>
      <c r="L411">
        <v>1.46072981306682</v>
      </c>
      <c r="M411">
        <v>0.25785084706258898</v>
      </c>
      <c r="N411">
        <v>4004</v>
      </c>
      <c r="R411">
        <v>2057678</v>
      </c>
      <c r="T411">
        <v>1430950</v>
      </c>
    </row>
    <row r="412" spans="1:21" x14ac:dyDescent="0.3">
      <c r="A412" s="1">
        <v>45624</v>
      </c>
      <c r="B412">
        <v>141</v>
      </c>
      <c r="C412">
        <v>1909.6992477234201</v>
      </c>
      <c r="D412">
        <v>6934.71061933282</v>
      </c>
      <c r="E412">
        <v>56</v>
      </c>
      <c r="F412">
        <v>56</v>
      </c>
      <c r="K412">
        <v>0.61542836097535303</v>
      </c>
      <c r="L412">
        <v>1.6757260385457999</v>
      </c>
      <c r="M412">
        <v>0.25011158278656997</v>
      </c>
      <c r="N412">
        <v>10178</v>
      </c>
      <c r="R412">
        <v>1113095</v>
      </c>
      <c r="T412">
        <v>4976909</v>
      </c>
    </row>
    <row r="413" spans="1:21" x14ac:dyDescent="0.3">
      <c r="A413" s="1">
        <v>45625</v>
      </c>
      <c r="B413">
        <v>7</v>
      </c>
      <c r="C413">
        <v>1575.2065405931701</v>
      </c>
      <c r="D413">
        <v>316.92362044019899</v>
      </c>
      <c r="K413">
        <v>0.40816038653127301</v>
      </c>
      <c r="L413">
        <v>2.4069255840248802</v>
      </c>
      <c r="M413">
        <v>0.28273483271525301</v>
      </c>
      <c r="N413">
        <v>533</v>
      </c>
      <c r="T413">
        <v>169573</v>
      </c>
    </row>
    <row r="414" spans="1:21" x14ac:dyDescent="0.3">
      <c r="A414" s="1">
        <v>45626</v>
      </c>
      <c r="B414">
        <v>7</v>
      </c>
      <c r="C414">
        <v>1600.38408303543</v>
      </c>
      <c r="D414">
        <v>291.234984386223</v>
      </c>
      <c r="K414">
        <v>0.38862478492679298</v>
      </c>
      <c r="L414">
        <v>1.2536596219252101</v>
      </c>
      <c r="M414">
        <v>0.26098599942946399</v>
      </c>
      <c r="N414">
        <v>619</v>
      </c>
      <c r="T414">
        <v>621053</v>
      </c>
    </row>
    <row r="415" spans="1:21" x14ac:dyDescent="0.3">
      <c r="A415" s="1">
        <v>45627</v>
      </c>
      <c r="B415">
        <v>59</v>
      </c>
      <c r="C415">
        <v>1739.51349874928</v>
      </c>
      <c r="D415">
        <v>2672.1003883826202</v>
      </c>
      <c r="E415">
        <v>19</v>
      </c>
      <c r="F415">
        <v>16</v>
      </c>
      <c r="K415">
        <v>0.39133444992038502</v>
      </c>
      <c r="L415">
        <v>1.9161390904147</v>
      </c>
      <c r="M415">
        <v>0.26769719397249703</v>
      </c>
      <c r="N415">
        <v>3919</v>
      </c>
      <c r="R415">
        <v>580671</v>
      </c>
      <c r="T415">
        <v>2493145</v>
      </c>
    </row>
    <row r="416" spans="1:21" x14ac:dyDescent="0.3">
      <c r="A416" s="1">
        <v>45628</v>
      </c>
      <c r="B416">
        <v>11</v>
      </c>
      <c r="C416">
        <v>1565.75</v>
      </c>
      <c r="D416">
        <v>577.93162511380297</v>
      </c>
      <c r="E416">
        <v>1</v>
      </c>
      <c r="F416">
        <v>1</v>
      </c>
      <c r="K416">
        <v>0.33502833909568502</v>
      </c>
      <c r="L416">
        <v>1.7670722233251599</v>
      </c>
      <c r="M416">
        <v>0.32623246768636599</v>
      </c>
      <c r="N416">
        <v>1051</v>
      </c>
    </row>
    <row r="417" spans="1:21" x14ac:dyDescent="0.3">
      <c r="A417" s="1">
        <v>45629</v>
      </c>
      <c r="B417">
        <v>70</v>
      </c>
      <c r="C417">
        <v>1777.1072886405</v>
      </c>
      <c r="D417">
        <v>2272.5186602764802</v>
      </c>
      <c r="E417">
        <v>43</v>
      </c>
      <c r="F417">
        <v>43</v>
      </c>
      <c r="K417">
        <v>0.54699592343820103</v>
      </c>
      <c r="L417">
        <v>1.8815726315480299</v>
      </c>
      <c r="M417">
        <v>0.309976508282367</v>
      </c>
      <c r="N417">
        <v>3426</v>
      </c>
      <c r="R417">
        <v>1832661</v>
      </c>
      <c r="T417">
        <v>1829559</v>
      </c>
    </row>
    <row r="418" spans="1:21" x14ac:dyDescent="0.3">
      <c r="A418" s="1">
        <v>45630</v>
      </c>
      <c r="B418">
        <v>114</v>
      </c>
      <c r="C418">
        <v>1916.4688339819099</v>
      </c>
      <c r="D418">
        <v>2625.3591837649301</v>
      </c>
      <c r="E418">
        <v>67</v>
      </c>
      <c r="F418">
        <v>67</v>
      </c>
      <c r="K418">
        <v>0.50731791737786702</v>
      </c>
      <c r="L418">
        <v>1.51956648883774</v>
      </c>
      <c r="M418">
        <v>0.25011158278656997</v>
      </c>
      <c r="N418">
        <v>4155</v>
      </c>
      <c r="R418">
        <v>3755644</v>
      </c>
      <c r="T418">
        <v>2271484</v>
      </c>
    </row>
    <row r="419" spans="1:21" x14ac:dyDescent="0.3">
      <c r="A419" s="1">
        <v>45631</v>
      </c>
      <c r="B419">
        <v>89</v>
      </c>
      <c r="C419">
        <v>1793.09742598002</v>
      </c>
      <c r="D419">
        <v>3322.5580087104299</v>
      </c>
      <c r="E419">
        <v>36</v>
      </c>
      <c r="F419">
        <v>36</v>
      </c>
      <c r="K419">
        <v>0.56423606223711398</v>
      </c>
      <c r="L419">
        <v>1.6409204340400001</v>
      </c>
      <c r="M419">
        <v>0.25011158278656997</v>
      </c>
      <c r="N419">
        <v>5127</v>
      </c>
      <c r="R419">
        <v>1503324</v>
      </c>
      <c r="T419">
        <v>2468596</v>
      </c>
    </row>
    <row r="420" spans="1:21" x14ac:dyDescent="0.3">
      <c r="A420" s="1">
        <v>45632</v>
      </c>
      <c r="C420">
        <v>1565.75</v>
      </c>
      <c r="D420">
        <v>33.275714927256701</v>
      </c>
      <c r="K420">
        <v>0.27729762439380501</v>
      </c>
      <c r="L420">
        <v>0.28273483271525301</v>
      </c>
      <c r="M420">
        <v>0.271860416072358</v>
      </c>
      <c r="N420">
        <v>74</v>
      </c>
    </row>
    <row r="421" spans="1:21" x14ac:dyDescent="0.3">
      <c r="A421" s="1">
        <v>45633</v>
      </c>
      <c r="B421">
        <v>54</v>
      </c>
      <c r="C421">
        <v>1712.57904069867</v>
      </c>
      <c r="D421">
        <v>2112.6662672177399</v>
      </c>
      <c r="E421">
        <v>25</v>
      </c>
      <c r="F421">
        <v>25</v>
      </c>
      <c r="K421">
        <v>0.44644726555089398</v>
      </c>
      <c r="L421">
        <v>1.4569064998612999</v>
      </c>
      <c r="M421">
        <v>0.271860416072358</v>
      </c>
      <c r="N421">
        <v>3133</v>
      </c>
      <c r="R421">
        <v>1010528</v>
      </c>
      <c r="T421">
        <v>1358388</v>
      </c>
      <c r="U421">
        <v>84506</v>
      </c>
    </row>
    <row r="422" spans="1:21" x14ac:dyDescent="0.3">
      <c r="A422" s="1">
        <v>45634</v>
      </c>
      <c r="B422">
        <v>33</v>
      </c>
      <c r="C422">
        <v>1617.9641985553801</v>
      </c>
      <c r="D422">
        <v>1248.6479493766101</v>
      </c>
      <c r="K422">
        <v>0.36083507411269999</v>
      </c>
      <c r="L422">
        <v>1.4938536204131201</v>
      </c>
      <c r="M422">
        <v>0.25011158278656997</v>
      </c>
      <c r="N422">
        <v>2055</v>
      </c>
      <c r="T422">
        <v>936296</v>
      </c>
    </row>
    <row r="423" spans="1:21" x14ac:dyDescent="0.3">
      <c r="A423" s="1">
        <v>45635</v>
      </c>
      <c r="B423">
        <v>2</v>
      </c>
      <c r="C423">
        <v>1565.75</v>
      </c>
      <c r="D423">
        <v>101.78453977749101</v>
      </c>
      <c r="K423">
        <v>0.31862876859104999</v>
      </c>
      <c r="L423">
        <v>0.61098355769825297</v>
      </c>
      <c r="M423">
        <v>0.26098599942946399</v>
      </c>
      <c r="N423">
        <v>247</v>
      </c>
    </row>
    <row r="424" spans="1:21" x14ac:dyDescent="0.3">
      <c r="A424" s="1">
        <v>45636</v>
      </c>
      <c r="B424">
        <v>127</v>
      </c>
      <c r="C424">
        <v>1955.2788822119901</v>
      </c>
      <c r="D424">
        <v>3934.3212293925599</v>
      </c>
      <c r="E424">
        <v>66</v>
      </c>
      <c r="F424">
        <v>66</v>
      </c>
      <c r="K424">
        <v>0.76501964136794898</v>
      </c>
      <c r="L424">
        <v>1.68064968323436</v>
      </c>
      <c r="M424">
        <v>0.25011158278656997</v>
      </c>
      <c r="N424">
        <v>5948</v>
      </c>
      <c r="R424">
        <v>2984026</v>
      </c>
      <c r="T424">
        <v>3792848</v>
      </c>
    </row>
    <row r="425" spans="1:21" x14ac:dyDescent="0.3">
      <c r="A425" s="1">
        <v>45637</v>
      </c>
      <c r="B425">
        <v>38</v>
      </c>
      <c r="C425">
        <v>1659.8557761111099</v>
      </c>
      <c r="D425">
        <v>1633.32702927129</v>
      </c>
      <c r="E425">
        <v>6</v>
      </c>
      <c r="F425">
        <v>6</v>
      </c>
      <c r="K425">
        <v>0.42262007371666699</v>
      </c>
      <c r="L425">
        <v>1.3792942989835899</v>
      </c>
      <c r="M425">
        <v>0.25011158278656997</v>
      </c>
      <c r="N425">
        <v>2628</v>
      </c>
      <c r="T425">
        <v>1687488</v>
      </c>
    </row>
    <row r="426" spans="1:21" x14ac:dyDescent="0.3">
      <c r="A426" s="1">
        <v>45638</v>
      </c>
      <c r="B426">
        <v>92</v>
      </c>
      <c r="C426">
        <v>1850.92949057739</v>
      </c>
      <c r="D426">
        <v>2956.1072730650399</v>
      </c>
      <c r="E426">
        <v>43</v>
      </c>
      <c r="F426">
        <v>43</v>
      </c>
      <c r="K426">
        <v>0.68400509380887997</v>
      </c>
      <c r="L426">
        <v>1.4893494715473801</v>
      </c>
      <c r="M426">
        <v>0.29360924935814697</v>
      </c>
      <c r="N426">
        <v>4424</v>
      </c>
      <c r="R426">
        <v>2083772</v>
      </c>
      <c r="T426">
        <v>2884705</v>
      </c>
    </row>
    <row r="427" spans="1:21" x14ac:dyDescent="0.3">
      <c r="A427" s="1">
        <v>45639</v>
      </c>
      <c r="B427">
        <v>117</v>
      </c>
      <c r="C427">
        <v>1956.67727098201</v>
      </c>
      <c r="D427">
        <v>2947.9006468571001</v>
      </c>
      <c r="E427">
        <v>66</v>
      </c>
      <c r="F427">
        <v>66</v>
      </c>
      <c r="K427">
        <v>0.44979291243448699</v>
      </c>
      <c r="L427">
        <v>1.6016058609411801</v>
      </c>
      <c r="M427">
        <v>0.25011158278656997</v>
      </c>
      <c r="N427">
        <v>4431</v>
      </c>
      <c r="R427">
        <v>3672398</v>
      </c>
      <c r="T427">
        <v>3081546</v>
      </c>
    </row>
    <row r="428" spans="1:21" x14ac:dyDescent="0.3">
      <c r="A428" s="1">
        <v>45640</v>
      </c>
      <c r="B428">
        <v>39</v>
      </c>
      <c r="C428">
        <v>1701.77705130247</v>
      </c>
      <c r="D428">
        <v>1554.4625146802</v>
      </c>
      <c r="E428">
        <v>11</v>
      </c>
      <c r="F428">
        <v>11</v>
      </c>
      <c r="K428">
        <v>0.41205281121152798</v>
      </c>
      <c r="L428">
        <v>1.2857067624151799</v>
      </c>
      <c r="M428">
        <v>0.28273483271525301</v>
      </c>
      <c r="N428">
        <v>2529</v>
      </c>
      <c r="R428">
        <v>539195</v>
      </c>
      <c r="T428">
        <v>1862418</v>
      </c>
    </row>
    <row r="429" spans="1:21" x14ac:dyDescent="0.3">
      <c r="A429" s="1">
        <v>45641</v>
      </c>
      <c r="B429">
        <v>15</v>
      </c>
      <c r="C429">
        <v>1616.9097174416099</v>
      </c>
      <c r="D429">
        <v>161.158854647694</v>
      </c>
      <c r="E429">
        <v>11</v>
      </c>
      <c r="F429">
        <v>11</v>
      </c>
      <c r="K429">
        <v>0.29983933952435898</v>
      </c>
      <c r="L429">
        <v>0.71176731905044199</v>
      </c>
      <c r="M429">
        <v>0.271860416072358</v>
      </c>
      <c r="N429">
        <v>279</v>
      </c>
      <c r="R429">
        <v>771034</v>
      </c>
      <c r="T429">
        <v>92585</v>
      </c>
    </row>
    <row r="430" spans="1:21" x14ac:dyDescent="0.3">
      <c r="A430" s="1">
        <v>45642</v>
      </c>
      <c r="B430">
        <v>122</v>
      </c>
      <c r="C430">
        <v>1933.1830749575599</v>
      </c>
      <c r="D430">
        <v>4540.04468666925</v>
      </c>
      <c r="E430">
        <v>58</v>
      </c>
      <c r="F430">
        <v>58</v>
      </c>
      <c r="K430">
        <v>0.64793274647044197</v>
      </c>
      <c r="L430">
        <v>1.4496700153534201</v>
      </c>
      <c r="M430">
        <v>0.25825845138221398</v>
      </c>
      <c r="N430">
        <v>6733</v>
      </c>
      <c r="R430">
        <v>1887795</v>
      </c>
      <c r="T430">
        <v>4569305</v>
      </c>
    </row>
    <row r="431" spans="1:21" x14ac:dyDescent="0.3">
      <c r="A431" s="1">
        <v>45643</v>
      </c>
      <c r="B431">
        <v>67</v>
      </c>
      <c r="C431">
        <v>1761.2116512586799</v>
      </c>
      <c r="D431">
        <v>2616.2101238405799</v>
      </c>
      <c r="E431">
        <v>30</v>
      </c>
      <c r="F431">
        <v>30</v>
      </c>
      <c r="K431">
        <v>0.56998709259504898</v>
      </c>
      <c r="L431">
        <v>1.6064227464221801</v>
      </c>
      <c r="M431">
        <v>0.26527337000784901</v>
      </c>
      <c r="N431">
        <v>4100</v>
      </c>
      <c r="R431">
        <v>1015912</v>
      </c>
      <c r="T431">
        <v>2418227</v>
      </c>
    </row>
    <row r="432" spans="1:21" x14ac:dyDescent="0.3">
      <c r="A432" s="1">
        <v>45644</v>
      </c>
      <c r="B432">
        <v>16</v>
      </c>
      <c r="C432">
        <v>1615.2015253480599</v>
      </c>
      <c r="D432">
        <v>935.78658177299201</v>
      </c>
      <c r="E432">
        <v>2</v>
      </c>
      <c r="F432">
        <v>2</v>
      </c>
      <c r="K432">
        <v>0.41541352321616498</v>
      </c>
      <c r="L432">
        <v>1.5270409288789399</v>
      </c>
      <c r="M432">
        <v>0.271860416072358</v>
      </c>
      <c r="N432">
        <v>1599</v>
      </c>
      <c r="T432">
        <v>886755</v>
      </c>
    </row>
    <row r="433" spans="1:21" x14ac:dyDescent="0.3">
      <c r="A433" s="1">
        <v>45645</v>
      </c>
      <c r="B433">
        <v>95</v>
      </c>
      <c r="C433">
        <v>1766.19977676235</v>
      </c>
      <c r="D433">
        <v>4281.1475080008904</v>
      </c>
      <c r="E433">
        <v>15</v>
      </c>
      <c r="F433">
        <v>15</v>
      </c>
      <c r="K433">
        <v>0.593562225503519</v>
      </c>
      <c r="L433">
        <v>1.52528071534987</v>
      </c>
      <c r="M433">
        <v>0.26098599942946399</v>
      </c>
      <c r="N433">
        <v>6741</v>
      </c>
      <c r="T433">
        <v>3594431</v>
      </c>
    </row>
    <row r="434" spans="1:21" x14ac:dyDescent="0.3">
      <c r="A434" s="1">
        <v>45646</v>
      </c>
      <c r="B434">
        <v>107</v>
      </c>
      <c r="C434">
        <v>1734.0055544822501</v>
      </c>
      <c r="D434">
        <v>4122.3543200583599</v>
      </c>
      <c r="K434">
        <v>0.37704477365480898</v>
      </c>
      <c r="L434">
        <v>1.4672278785992301</v>
      </c>
      <c r="M434">
        <v>0.24925460325688101</v>
      </c>
      <c r="N434">
        <v>6714</v>
      </c>
      <c r="T434">
        <v>3017129</v>
      </c>
    </row>
    <row r="435" spans="1:21" x14ac:dyDescent="0.3">
      <c r="A435" s="1">
        <v>45647</v>
      </c>
      <c r="B435">
        <v>80</v>
      </c>
      <c r="C435">
        <v>1674.7525709736999</v>
      </c>
      <c r="D435">
        <v>4136.7765800063898</v>
      </c>
      <c r="E435">
        <v>6</v>
      </c>
      <c r="F435">
        <v>6</v>
      </c>
      <c r="K435">
        <v>0.39890610686509198</v>
      </c>
      <c r="L435">
        <v>1.3989016681158799</v>
      </c>
      <c r="M435">
        <v>0.25011158278656997</v>
      </c>
      <c r="N435">
        <v>6537</v>
      </c>
      <c r="T435">
        <v>1954614</v>
      </c>
    </row>
    <row r="436" spans="1:21" x14ac:dyDescent="0.3">
      <c r="A436" s="1">
        <v>45648</v>
      </c>
      <c r="B436">
        <v>38</v>
      </c>
      <c r="C436">
        <v>1624.90567400752</v>
      </c>
      <c r="D436">
        <v>1561.0757541016301</v>
      </c>
      <c r="E436">
        <v>4</v>
      </c>
      <c r="F436">
        <v>4</v>
      </c>
      <c r="K436">
        <v>0.36667452972914699</v>
      </c>
      <c r="L436">
        <v>1.5345464493699199</v>
      </c>
      <c r="M436">
        <v>0.27002813772912299</v>
      </c>
      <c r="N436">
        <v>2440</v>
      </c>
      <c r="T436">
        <v>1060769</v>
      </c>
    </row>
    <row r="437" spans="1:21" x14ac:dyDescent="0.3">
      <c r="A437" s="1">
        <v>45649</v>
      </c>
      <c r="B437">
        <v>17</v>
      </c>
      <c r="C437">
        <v>1593.0846489877699</v>
      </c>
      <c r="D437">
        <v>646.44049118027203</v>
      </c>
      <c r="E437">
        <v>1</v>
      </c>
      <c r="F437">
        <v>1</v>
      </c>
      <c r="K437">
        <v>0.34809449539620102</v>
      </c>
      <c r="L437">
        <v>1.20635644862779</v>
      </c>
      <c r="M437">
        <v>0.26098599942946399</v>
      </c>
      <c r="N437">
        <v>1118</v>
      </c>
      <c r="T437">
        <v>490161</v>
      </c>
    </row>
    <row r="438" spans="1:21" x14ac:dyDescent="0.3">
      <c r="A438" s="1">
        <v>45650</v>
      </c>
      <c r="B438">
        <v>9</v>
      </c>
      <c r="C438">
        <v>1578.3043853559</v>
      </c>
      <c r="D438">
        <v>623.23875642602604</v>
      </c>
      <c r="K438">
        <v>0.35766695433295298</v>
      </c>
      <c r="L438">
        <v>1.7515224965320499</v>
      </c>
      <c r="M438">
        <v>0.25011158278656997</v>
      </c>
      <c r="N438">
        <v>1164</v>
      </c>
      <c r="T438">
        <v>225123</v>
      </c>
    </row>
    <row r="439" spans="1:21" x14ac:dyDescent="0.3">
      <c r="A439" s="1">
        <v>45651</v>
      </c>
      <c r="B439">
        <v>209</v>
      </c>
      <c r="C439">
        <v>2193.8206404528901</v>
      </c>
      <c r="D439">
        <v>11754.0224969016</v>
      </c>
      <c r="E439">
        <v>70</v>
      </c>
      <c r="F439">
        <v>70</v>
      </c>
      <c r="K439">
        <v>0.50149121595764701</v>
      </c>
      <c r="L439">
        <v>1.53504436097522</v>
      </c>
      <c r="M439">
        <v>0.24968050002049899</v>
      </c>
      <c r="N439">
        <v>17321</v>
      </c>
      <c r="T439">
        <v>11262453</v>
      </c>
    </row>
    <row r="440" spans="1:21" x14ac:dyDescent="0.3">
      <c r="A440" s="1">
        <v>45652</v>
      </c>
      <c r="B440">
        <v>6</v>
      </c>
      <c r="C440">
        <v>1631.0383713727799</v>
      </c>
      <c r="D440">
        <v>326.189335214224</v>
      </c>
      <c r="K440">
        <v>0.75794953744848603</v>
      </c>
      <c r="L440">
        <v>1.5124282812540499</v>
      </c>
      <c r="M440">
        <v>0.28273483271525301</v>
      </c>
      <c r="N440">
        <v>702</v>
      </c>
      <c r="T440">
        <v>747574</v>
      </c>
      <c r="U440">
        <v>184781</v>
      </c>
    </row>
    <row r="441" spans="1:21" x14ac:dyDescent="0.3">
      <c r="A441" s="1">
        <v>45653</v>
      </c>
      <c r="B441">
        <v>107</v>
      </c>
      <c r="C441">
        <v>1880.76290951754</v>
      </c>
      <c r="D441">
        <v>5093.3281142776304</v>
      </c>
      <c r="E441">
        <v>14</v>
      </c>
      <c r="F441">
        <v>14</v>
      </c>
      <c r="K441">
        <v>0.66977386868289102</v>
      </c>
      <c r="L441">
        <v>1.9663441128429</v>
      </c>
      <c r="M441">
        <v>0.26049111689001198</v>
      </c>
      <c r="N441">
        <v>7818</v>
      </c>
      <c r="R441">
        <v>214886</v>
      </c>
      <c r="T441">
        <v>5418885</v>
      </c>
    </row>
    <row r="442" spans="1:21" x14ac:dyDescent="0.3">
      <c r="A442" s="1">
        <v>45654</v>
      </c>
      <c r="B442">
        <v>49</v>
      </c>
      <c r="C442">
        <v>1675.3195359690001</v>
      </c>
      <c r="D442">
        <v>1699.7637894117299</v>
      </c>
      <c r="K442">
        <v>0.44846505729250202</v>
      </c>
      <c r="L442">
        <v>1.25182762250978</v>
      </c>
      <c r="M442">
        <v>0.26294934819931098</v>
      </c>
      <c r="N442">
        <v>3043</v>
      </c>
      <c r="T442">
        <v>1964782</v>
      </c>
    </row>
    <row r="443" spans="1:21" x14ac:dyDescent="0.3">
      <c r="A443" s="1">
        <v>45655</v>
      </c>
      <c r="B443">
        <v>70</v>
      </c>
      <c r="C443">
        <v>1797.7245848427899</v>
      </c>
      <c r="D443">
        <v>3614.8201392327801</v>
      </c>
      <c r="E443">
        <v>15</v>
      </c>
      <c r="F443">
        <v>15</v>
      </c>
      <c r="K443">
        <v>0.38481021528570297</v>
      </c>
      <c r="L443">
        <v>1.52604243241597</v>
      </c>
      <c r="M443">
        <v>0.25011158278656997</v>
      </c>
      <c r="N443">
        <v>5593</v>
      </c>
      <c r="T443">
        <v>4159726</v>
      </c>
    </row>
    <row r="444" spans="1:21" x14ac:dyDescent="0.3">
      <c r="A444" s="1">
        <v>45656</v>
      </c>
      <c r="B444">
        <v>56</v>
      </c>
      <c r="C444">
        <v>1833.44220158652</v>
      </c>
      <c r="D444">
        <v>3140.3140131688501</v>
      </c>
      <c r="E444">
        <v>17</v>
      </c>
      <c r="F444">
        <v>17</v>
      </c>
      <c r="K444">
        <v>0.46693773333931898</v>
      </c>
      <c r="L444">
        <v>2.4977922741074798</v>
      </c>
      <c r="M444">
        <v>0.25011158278656997</v>
      </c>
      <c r="N444">
        <v>4980</v>
      </c>
      <c r="T444">
        <v>4800210</v>
      </c>
    </row>
    <row r="445" spans="1:21" x14ac:dyDescent="0.3">
      <c r="A445" s="1">
        <v>45657</v>
      </c>
      <c r="B445">
        <v>93</v>
      </c>
      <c r="C445">
        <v>1902.4015736854999</v>
      </c>
      <c r="D445">
        <v>5478.2713770713999</v>
      </c>
      <c r="E445">
        <v>38</v>
      </c>
      <c r="F445">
        <v>37</v>
      </c>
      <c r="K445">
        <v>0.57238522736230901</v>
      </c>
      <c r="L445">
        <v>2.1636436924521698</v>
      </c>
      <c r="M445">
        <v>0.25011158278656997</v>
      </c>
      <c r="N445">
        <v>8125</v>
      </c>
      <c r="T445">
        <v>6036777</v>
      </c>
    </row>
    <row r="446" spans="1:21" x14ac:dyDescent="0.3">
      <c r="A446" s="1">
        <v>45658</v>
      </c>
      <c r="B446">
        <v>27</v>
      </c>
      <c r="C446">
        <v>1608.51448964317</v>
      </c>
      <c r="D446">
        <v>1145.96715731429</v>
      </c>
      <c r="K446">
        <v>0.38893957499401799</v>
      </c>
      <c r="L446">
        <v>1.25561139358713</v>
      </c>
      <c r="M446">
        <v>0.25011158278656997</v>
      </c>
      <c r="N446">
        <v>2053</v>
      </c>
      <c r="T446">
        <v>766846</v>
      </c>
    </row>
    <row r="447" spans="1:21" x14ac:dyDescent="0.3">
      <c r="A447" s="1">
        <v>45659</v>
      </c>
      <c r="B447">
        <v>98</v>
      </c>
      <c r="C447">
        <v>1862.7644592776101</v>
      </c>
      <c r="D447">
        <v>5661.3798769906398</v>
      </c>
      <c r="E447">
        <v>42</v>
      </c>
      <c r="F447">
        <v>42</v>
      </c>
      <c r="K447">
        <v>0.46985249188655298</v>
      </c>
      <c r="L447">
        <v>1.4116628645574401</v>
      </c>
      <c r="M447">
        <v>0.26028465561586001</v>
      </c>
      <c r="N447">
        <v>8494</v>
      </c>
      <c r="T447">
        <v>5326013</v>
      </c>
    </row>
    <row r="448" spans="1:21" x14ac:dyDescent="0.3">
      <c r="A448" s="1">
        <v>45660</v>
      </c>
      <c r="B448">
        <v>74</v>
      </c>
      <c r="C448">
        <v>1799.33494866766</v>
      </c>
      <c r="D448">
        <v>3917.4690151812702</v>
      </c>
      <c r="E448">
        <v>17</v>
      </c>
      <c r="F448">
        <v>17</v>
      </c>
      <c r="K448">
        <v>0.57000533942411502</v>
      </c>
      <c r="L448">
        <v>1.4521614017961999</v>
      </c>
      <c r="M448">
        <v>0.25011158278656997</v>
      </c>
      <c r="N448">
        <v>5993</v>
      </c>
      <c r="T448">
        <v>4188606</v>
      </c>
    </row>
    <row r="449" spans="1:21" x14ac:dyDescent="0.3">
      <c r="A449" s="1">
        <v>45661</v>
      </c>
      <c r="B449">
        <v>60</v>
      </c>
      <c r="C449">
        <v>1666.45388010231</v>
      </c>
      <c r="D449">
        <v>2623.2832200988601</v>
      </c>
      <c r="E449">
        <v>9</v>
      </c>
      <c r="F449">
        <v>9</v>
      </c>
      <c r="K449">
        <v>0.44900773335994398</v>
      </c>
      <c r="L449">
        <v>1.60773971460953</v>
      </c>
      <c r="M449">
        <v>0.25428934423961602</v>
      </c>
      <c r="N449">
        <v>4002</v>
      </c>
      <c r="S449">
        <v>18027</v>
      </c>
      <c r="T449">
        <v>1805804</v>
      </c>
    </row>
    <row r="450" spans="1:21" x14ac:dyDescent="0.3">
      <c r="A450" s="1">
        <v>45662</v>
      </c>
      <c r="B450">
        <v>207</v>
      </c>
      <c r="C450">
        <v>2186.7582457029598</v>
      </c>
      <c r="D450">
        <v>10604.3626625741</v>
      </c>
      <c r="E450">
        <v>48</v>
      </c>
      <c r="F450">
        <v>47</v>
      </c>
      <c r="K450">
        <v>0.52780205530004398</v>
      </c>
      <c r="L450">
        <v>1.91179289401998</v>
      </c>
      <c r="M450">
        <v>0.24520436835753401</v>
      </c>
      <c r="N450">
        <v>16159</v>
      </c>
      <c r="T450">
        <v>10886003</v>
      </c>
      <c r="U450">
        <v>109043</v>
      </c>
    </row>
    <row r="451" spans="1:21" x14ac:dyDescent="0.3">
      <c r="A451" s="1">
        <v>45663</v>
      </c>
      <c r="B451">
        <v>140</v>
      </c>
      <c r="C451">
        <v>1918.78675472183</v>
      </c>
      <c r="D451">
        <v>5398.2447565202801</v>
      </c>
      <c r="E451">
        <v>60</v>
      </c>
      <c r="F451">
        <v>60</v>
      </c>
      <c r="K451">
        <v>0.49520657324112299</v>
      </c>
      <c r="L451">
        <v>1.5900125503932601</v>
      </c>
      <c r="M451">
        <v>0.25011158278656997</v>
      </c>
      <c r="N451">
        <v>8329</v>
      </c>
      <c r="R451">
        <v>2159533</v>
      </c>
      <c r="T451">
        <v>4020463</v>
      </c>
    </row>
    <row r="452" spans="1:21" x14ac:dyDescent="0.3">
      <c r="A452" s="1">
        <v>45664</v>
      </c>
      <c r="B452">
        <v>63</v>
      </c>
      <c r="C452">
        <v>1713.2722332692899</v>
      </c>
      <c r="D452">
        <v>2943.78076380742</v>
      </c>
      <c r="E452">
        <v>6</v>
      </c>
      <c r="F452">
        <v>6</v>
      </c>
      <c r="K452">
        <v>0.50200339602682598</v>
      </c>
      <c r="L452">
        <v>1.3453923372171499</v>
      </c>
      <c r="M452">
        <v>0.26098599942946399</v>
      </c>
      <c r="N452">
        <v>4774</v>
      </c>
      <c r="T452">
        <v>2645343</v>
      </c>
    </row>
    <row r="453" spans="1:21" x14ac:dyDescent="0.3">
      <c r="A453" s="1">
        <v>45665</v>
      </c>
      <c r="B453">
        <v>109</v>
      </c>
      <c r="C453">
        <v>1859.92713412745</v>
      </c>
      <c r="D453">
        <v>2513.66784051272</v>
      </c>
      <c r="E453">
        <v>53</v>
      </c>
      <c r="F453">
        <v>53</v>
      </c>
      <c r="K453">
        <v>0.49868494223493898</v>
      </c>
      <c r="L453">
        <v>1.6192163882789401</v>
      </c>
      <c r="M453">
        <v>0.25011158278656997</v>
      </c>
      <c r="N453">
        <v>4196</v>
      </c>
      <c r="R453">
        <v>2958815</v>
      </c>
      <c r="T453">
        <v>2109983</v>
      </c>
    </row>
    <row r="454" spans="1:21" x14ac:dyDescent="0.3">
      <c r="A454" s="1">
        <v>45666</v>
      </c>
      <c r="B454">
        <v>84</v>
      </c>
      <c r="C454">
        <v>1735.00728776557</v>
      </c>
      <c r="D454">
        <v>3427.9739504126301</v>
      </c>
      <c r="K454">
        <v>0.505921124499492</v>
      </c>
      <c r="L454">
        <v>1.6595931816771801</v>
      </c>
      <c r="M454">
        <v>0.25011158278656997</v>
      </c>
      <c r="N454">
        <v>5557</v>
      </c>
      <c r="T454">
        <v>2820734</v>
      </c>
      <c r="U454">
        <v>93602</v>
      </c>
    </row>
    <row r="455" spans="1:21" x14ac:dyDescent="0.3">
      <c r="A455" s="1">
        <v>45667</v>
      </c>
      <c r="B455">
        <v>24</v>
      </c>
      <c r="C455">
        <v>1583.5589546614499</v>
      </c>
      <c r="D455">
        <v>772.78958801869499</v>
      </c>
      <c r="K455">
        <v>0.32872402532649603</v>
      </c>
      <c r="L455">
        <v>1.3849188895350499</v>
      </c>
      <c r="M455">
        <v>0.25011158278656997</v>
      </c>
      <c r="N455">
        <v>1286</v>
      </c>
      <c r="T455">
        <v>319347</v>
      </c>
    </row>
    <row r="456" spans="1:21" x14ac:dyDescent="0.3">
      <c r="A456" s="1">
        <v>45668</v>
      </c>
      <c r="B456">
        <v>70</v>
      </c>
      <c r="C456">
        <v>1810.6309825752301</v>
      </c>
      <c r="D456">
        <v>3780.7629921431298</v>
      </c>
      <c r="E456">
        <v>24</v>
      </c>
      <c r="F456">
        <v>24</v>
      </c>
      <c r="K456">
        <v>0.43307645638067599</v>
      </c>
      <c r="L456">
        <v>1.43931193491766</v>
      </c>
      <c r="M456">
        <v>0.26098599942946399</v>
      </c>
      <c r="N456">
        <v>5847</v>
      </c>
      <c r="T456">
        <v>4391164</v>
      </c>
    </row>
    <row r="457" spans="1:21" x14ac:dyDescent="0.3">
      <c r="A457" s="1">
        <v>45669</v>
      </c>
      <c r="B457">
        <v>104</v>
      </c>
      <c r="C457">
        <v>1724.1900320944901</v>
      </c>
      <c r="D457">
        <v>3978.6329145433001</v>
      </c>
      <c r="E457">
        <v>3</v>
      </c>
      <c r="F457">
        <v>3</v>
      </c>
      <c r="K457">
        <v>0.40742804106604802</v>
      </c>
      <c r="L457">
        <v>1.5255227366572801</v>
      </c>
      <c r="M457">
        <v>0.25011158278656997</v>
      </c>
      <c r="N457">
        <v>6319</v>
      </c>
      <c r="T457">
        <v>2841120</v>
      </c>
    </row>
    <row r="458" spans="1:21" x14ac:dyDescent="0.3">
      <c r="A458" s="1">
        <v>45670</v>
      </c>
      <c r="B458">
        <v>159</v>
      </c>
      <c r="C458">
        <v>2031.12777892587</v>
      </c>
      <c r="D458">
        <v>6248.5209220159604</v>
      </c>
      <c r="E458">
        <v>65</v>
      </c>
      <c r="F458">
        <v>65</v>
      </c>
      <c r="K458">
        <v>0.60649063676751402</v>
      </c>
      <c r="L458">
        <v>1.49412504594944</v>
      </c>
      <c r="M458">
        <v>0.25011158278656997</v>
      </c>
      <c r="N458">
        <v>9543</v>
      </c>
      <c r="R458">
        <v>2370590</v>
      </c>
      <c r="T458">
        <v>5809171</v>
      </c>
    </row>
    <row r="459" spans="1:21" x14ac:dyDescent="0.3">
      <c r="A459" s="1">
        <v>45671</v>
      </c>
      <c r="B459">
        <v>76</v>
      </c>
      <c r="C459">
        <v>1724.4331370851301</v>
      </c>
      <c r="D459">
        <v>3047.3250671619498</v>
      </c>
      <c r="E459">
        <v>31</v>
      </c>
      <c r="F459">
        <v>31</v>
      </c>
      <c r="K459">
        <v>0.530094873051556</v>
      </c>
      <c r="L459">
        <v>1.52429385955862</v>
      </c>
      <c r="M459">
        <v>0.25466207487895098</v>
      </c>
      <c r="N459">
        <v>4725</v>
      </c>
      <c r="R459">
        <v>1176610</v>
      </c>
      <c r="T459">
        <v>1586818</v>
      </c>
    </row>
    <row r="460" spans="1:21" x14ac:dyDescent="0.3">
      <c r="A460" s="1">
        <v>45672</v>
      </c>
      <c r="B460">
        <v>90</v>
      </c>
      <c r="C460">
        <v>1802.1957564597201</v>
      </c>
      <c r="D460">
        <v>3213.7546221132902</v>
      </c>
      <c r="E460">
        <v>42</v>
      </c>
      <c r="F460">
        <v>42</v>
      </c>
      <c r="K460">
        <v>0.55122022700323603</v>
      </c>
      <c r="L460">
        <v>2.40857846034478</v>
      </c>
      <c r="M460">
        <v>0.25011158278656997</v>
      </c>
      <c r="N460">
        <v>5052</v>
      </c>
      <c r="R460">
        <v>1581184</v>
      </c>
      <c r="T460">
        <v>2548456</v>
      </c>
    </row>
    <row r="461" spans="1:21" x14ac:dyDescent="0.3">
      <c r="A461" s="1">
        <v>45673</v>
      </c>
      <c r="B461">
        <v>68</v>
      </c>
      <c r="C461">
        <v>1765.51672313678</v>
      </c>
      <c r="D461">
        <v>2902.9410011220002</v>
      </c>
      <c r="E461">
        <v>31</v>
      </c>
      <c r="F461">
        <v>31</v>
      </c>
      <c r="K461">
        <v>0.65174726426729701</v>
      </c>
      <c r="L461">
        <v>2.2714050750604802</v>
      </c>
      <c r="M461">
        <v>0.25011158278656997</v>
      </c>
      <c r="N461">
        <v>4272</v>
      </c>
      <c r="R461">
        <v>862070</v>
      </c>
      <c r="T461">
        <v>2659996</v>
      </c>
    </row>
    <row r="462" spans="1:21" x14ac:dyDescent="0.3">
      <c r="A462" s="1">
        <v>45674</v>
      </c>
      <c r="B462">
        <v>141</v>
      </c>
      <c r="C462">
        <v>1965.7179825252199</v>
      </c>
      <c r="D462">
        <v>4353.2396241850001</v>
      </c>
      <c r="E462">
        <v>40</v>
      </c>
      <c r="F462">
        <v>40</v>
      </c>
      <c r="K462">
        <v>0.44622251831184201</v>
      </c>
      <c r="L462">
        <v>1.4940778799034899</v>
      </c>
      <c r="M462">
        <v>0.26098599942946399</v>
      </c>
      <c r="N462">
        <v>6793</v>
      </c>
      <c r="R462">
        <v>2203808</v>
      </c>
      <c r="T462">
        <v>4814666</v>
      </c>
    </row>
    <row r="463" spans="1:21" x14ac:dyDescent="0.3">
      <c r="A463" s="1">
        <v>45675</v>
      </c>
      <c r="B463">
        <v>100</v>
      </c>
      <c r="C463">
        <v>1891.83942105248</v>
      </c>
      <c r="D463">
        <v>4777.0804474624301</v>
      </c>
      <c r="E463">
        <v>33</v>
      </c>
      <c r="F463">
        <v>33</v>
      </c>
      <c r="K463">
        <v>0.57406418850635899</v>
      </c>
      <c r="L463">
        <v>1.63498184041474</v>
      </c>
      <c r="M463">
        <v>0.26098599942946399</v>
      </c>
      <c r="N463">
        <v>7223</v>
      </c>
      <c r="R463">
        <v>604901</v>
      </c>
      <c r="T463">
        <v>5200293</v>
      </c>
    </row>
    <row r="464" spans="1:21" x14ac:dyDescent="0.3">
      <c r="A464" s="1">
        <v>45676</v>
      </c>
      <c r="B464">
        <v>16</v>
      </c>
      <c r="C464">
        <v>1597.1518848061301</v>
      </c>
      <c r="D464">
        <v>946.52626156171402</v>
      </c>
      <c r="E464">
        <v>3</v>
      </c>
      <c r="F464">
        <v>3</v>
      </c>
      <c r="K464">
        <v>0.39999329526468402</v>
      </c>
      <c r="L464">
        <v>1.44948066354764</v>
      </c>
      <c r="M464">
        <v>0.25011158278656997</v>
      </c>
      <c r="N464">
        <v>1569</v>
      </c>
      <c r="T464">
        <v>563093</v>
      </c>
    </row>
    <row r="465" spans="1:21" x14ac:dyDescent="0.3">
      <c r="A465" s="1">
        <v>45677</v>
      </c>
      <c r="B465">
        <v>133</v>
      </c>
      <c r="C465">
        <v>1952.4344264612</v>
      </c>
      <c r="D465">
        <v>5039.6793522211701</v>
      </c>
      <c r="E465">
        <v>34</v>
      </c>
      <c r="F465">
        <v>34</v>
      </c>
      <c r="K465">
        <v>0.72158058960211902</v>
      </c>
      <c r="L465">
        <v>1.62679891603863</v>
      </c>
      <c r="M465">
        <v>0.24566583394284899</v>
      </c>
      <c r="N465">
        <v>7828</v>
      </c>
      <c r="R465">
        <v>1583271</v>
      </c>
      <c r="T465">
        <v>5240092</v>
      </c>
    </row>
    <row r="466" spans="1:21" x14ac:dyDescent="0.3">
      <c r="A466" s="1">
        <v>45678</v>
      </c>
      <c r="B466">
        <v>137</v>
      </c>
      <c r="C466">
        <v>1971.54692826736</v>
      </c>
      <c r="D466">
        <v>5135.4983127693204</v>
      </c>
      <c r="E466">
        <v>57</v>
      </c>
      <c r="F466">
        <v>57</v>
      </c>
      <c r="K466">
        <v>0.57018805513897097</v>
      </c>
      <c r="L466">
        <v>1.50249797281005</v>
      </c>
      <c r="M466">
        <v>0.24377525885740201</v>
      </c>
      <c r="N466">
        <v>7714</v>
      </c>
      <c r="R466">
        <v>2006997</v>
      </c>
      <c r="T466">
        <v>4897265</v>
      </c>
      <c r="U466">
        <v>101507</v>
      </c>
    </row>
    <row r="467" spans="1:21" x14ac:dyDescent="0.3">
      <c r="A467" s="1">
        <v>45679</v>
      </c>
      <c r="B467">
        <v>96</v>
      </c>
      <c r="C467">
        <v>1888.5137036425101</v>
      </c>
      <c r="D467">
        <v>3295.6071060498398</v>
      </c>
      <c r="E467">
        <v>46</v>
      </c>
      <c r="F467">
        <v>46</v>
      </c>
      <c r="K467">
        <v>0.62228193300562995</v>
      </c>
      <c r="L467">
        <v>1.6033803537756099</v>
      </c>
      <c r="M467">
        <v>0.277742680035029</v>
      </c>
      <c r="N467">
        <v>5220</v>
      </c>
      <c r="R467">
        <v>2057483</v>
      </c>
      <c r="T467">
        <v>3586780</v>
      </c>
    </row>
    <row r="468" spans="1:21" x14ac:dyDescent="0.3">
      <c r="A468" s="1">
        <v>45680</v>
      </c>
      <c r="B468">
        <v>59</v>
      </c>
      <c r="C468">
        <v>1730.46971333954</v>
      </c>
      <c r="D468">
        <v>1127.22893939748</v>
      </c>
      <c r="E468">
        <v>29</v>
      </c>
      <c r="F468">
        <v>29</v>
      </c>
      <c r="K468">
        <v>0.44068841011843102</v>
      </c>
      <c r="L468">
        <v>1.26464238256828</v>
      </c>
      <c r="M468">
        <v>0.27141951028869599</v>
      </c>
      <c r="N468">
        <v>1902</v>
      </c>
      <c r="R468">
        <v>1918912</v>
      </c>
      <c r="T468">
        <v>900998</v>
      </c>
    </row>
    <row r="469" spans="1:21" x14ac:dyDescent="0.3">
      <c r="A469" s="1">
        <v>45681</v>
      </c>
      <c r="B469">
        <v>60</v>
      </c>
      <c r="C469">
        <v>1818.48832614666</v>
      </c>
      <c r="D469">
        <v>3181.86638098299</v>
      </c>
      <c r="E469">
        <v>15</v>
      </c>
      <c r="F469">
        <v>15</v>
      </c>
      <c r="K469">
        <v>0.50913583200132795</v>
      </c>
      <c r="L469">
        <v>1.6502858614547899</v>
      </c>
      <c r="M469">
        <v>0.25011158278656997</v>
      </c>
      <c r="N469">
        <v>4907</v>
      </c>
      <c r="T469">
        <v>3158004</v>
      </c>
      <c r="U469">
        <v>600000</v>
      </c>
    </row>
    <row r="470" spans="1:21" x14ac:dyDescent="0.3">
      <c r="A470" s="1">
        <v>45682</v>
      </c>
      <c r="B470">
        <v>93</v>
      </c>
      <c r="C470">
        <v>1847.4371756237199</v>
      </c>
      <c r="D470">
        <v>3257.73800277905</v>
      </c>
      <c r="E470">
        <v>33</v>
      </c>
      <c r="F470">
        <v>33</v>
      </c>
      <c r="K470">
        <v>0.49937574405486002</v>
      </c>
      <c r="L470">
        <v>1.5156730260036899</v>
      </c>
      <c r="M470">
        <v>0.24716500131272001</v>
      </c>
      <c r="N470">
        <v>5126</v>
      </c>
      <c r="R470">
        <v>1466430</v>
      </c>
      <c r="T470">
        <v>3482474</v>
      </c>
    </row>
    <row r="471" spans="1:21" x14ac:dyDescent="0.3">
      <c r="A471" s="1">
        <v>45683</v>
      </c>
      <c r="B471">
        <v>149</v>
      </c>
      <c r="C471">
        <v>2083.93783942646</v>
      </c>
      <c r="D471">
        <v>8650.5359050744191</v>
      </c>
      <c r="E471">
        <v>79</v>
      </c>
      <c r="F471">
        <v>79</v>
      </c>
      <c r="K471">
        <v>0.56216667157373101</v>
      </c>
      <c r="L471">
        <v>1.5661663164434101</v>
      </c>
      <c r="M471">
        <v>0.26098599942946399</v>
      </c>
      <c r="N471">
        <v>12645</v>
      </c>
      <c r="R471">
        <v>951808</v>
      </c>
      <c r="T471">
        <v>8273870</v>
      </c>
    </row>
    <row r="472" spans="1:21" x14ac:dyDescent="0.3">
      <c r="A472" s="1">
        <v>45684</v>
      </c>
      <c r="B472">
        <v>159</v>
      </c>
      <c r="C472">
        <v>2003.8875512141501</v>
      </c>
      <c r="D472">
        <v>9769.1995772261707</v>
      </c>
      <c r="E472">
        <v>73</v>
      </c>
      <c r="F472">
        <v>73</v>
      </c>
      <c r="K472">
        <v>0.59595676178700996</v>
      </c>
      <c r="L472">
        <v>1.96506704249069</v>
      </c>
      <c r="M472">
        <v>0.24973540491349999</v>
      </c>
      <c r="N472">
        <v>13949</v>
      </c>
      <c r="T472">
        <v>7830270</v>
      </c>
    </row>
    <row r="473" spans="1:21" x14ac:dyDescent="0.3">
      <c r="A473" s="1">
        <v>45685</v>
      </c>
      <c r="B473">
        <v>102</v>
      </c>
      <c r="C473">
        <v>1811.6204891485399</v>
      </c>
      <c r="D473">
        <v>6932.3079374601703</v>
      </c>
      <c r="E473">
        <v>62</v>
      </c>
      <c r="F473">
        <v>62</v>
      </c>
      <c r="K473">
        <v>0.49003052948889803</v>
      </c>
      <c r="L473">
        <v>1.5359104921179201</v>
      </c>
      <c r="M473">
        <v>0.25069978973791501</v>
      </c>
      <c r="N473">
        <v>9933</v>
      </c>
      <c r="T473">
        <v>4408905</v>
      </c>
    </row>
    <row r="474" spans="1:21" x14ac:dyDescent="0.3">
      <c r="A474" s="1">
        <v>45686</v>
      </c>
      <c r="B474">
        <v>85</v>
      </c>
      <c r="C474">
        <v>1779.1721522285</v>
      </c>
      <c r="D474">
        <v>5223.4855603696597</v>
      </c>
      <c r="E474">
        <v>51</v>
      </c>
      <c r="F474">
        <v>51</v>
      </c>
      <c r="K474">
        <v>0.44741199861264502</v>
      </c>
      <c r="L474">
        <v>1.6007096753448</v>
      </c>
      <c r="M474">
        <v>0.25011158278656997</v>
      </c>
      <c r="N474">
        <v>7306</v>
      </c>
      <c r="R474">
        <v>477242</v>
      </c>
      <c r="T474">
        <v>3316527</v>
      </c>
    </row>
    <row r="475" spans="1:21" x14ac:dyDescent="0.3">
      <c r="A475" s="1">
        <v>45687</v>
      </c>
      <c r="B475">
        <v>56</v>
      </c>
      <c r="C475">
        <v>1695.7233284435399</v>
      </c>
      <c r="D475">
        <v>2118.2162772530501</v>
      </c>
      <c r="E475">
        <v>22</v>
      </c>
      <c r="F475">
        <v>22</v>
      </c>
      <c r="K475">
        <v>0.47862401300545199</v>
      </c>
      <c r="L475">
        <v>1.53233406011712</v>
      </c>
      <c r="M475">
        <v>0.25011158278656997</v>
      </c>
      <c r="N475">
        <v>3288</v>
      </c>
      <c r="R475">
        <v>864358</v>
      </c>
      <c r="T475">
        <v>1406025</v>
      </c>
    </row>
    <row r="476" spans="1:21" x14ac:dyDescent="0.3">
      <c r="A476" s="1">
        <v>45688</v>
      </c>
      <c r="B476">
        <v>69</v>
      </c>
      <c r="C476">
        <v>1791.9125620760501</v>
      </c>
      <c r="D476">
        <v>3409.4798146470598</v>
      </c>
      <c r="E476">
        <v>11</v>
      </c>
      <c r="F476">
        <v>11</v>
      </c>
      <c r="K476">
        <v>0.51511268687529599</v>
      </c>
      <c r="L476">
        <v>1.57917902729352</v>
      </c>
      <c r="M476">
        <v>0.25011158278656997</v>
      </c>
      <c r="N476">
        <v>5295</v>
      </c>
      <c r="T476">
        <v>3263548</v>
      </c>
      <c r="U476">
        <v>345819</v>
      </c>
    </row>
    <row r="477" spans="1:21" x14ac:dyDescent="0.3">
      <c r="A477" s="1">
        <v>45689</v>
      </c>
      <c r="B477">
        <v>98</v>
      </c>
      <c r="C477">
        <v>1893.6369908294801</v>
      </c>
      <c r="D477">
        <v>4261.21477816072</v>
      </c>
      <c r="E477">
        <v>37</v>
      </c>
      <c r="F477">
        <v>37</v>
      </c>
      <c r="K477">
        <v>0.49946220791505702</v>
      </c>
      <c r="L477">
        <v>1.6257037141482</v>
      </c>
      <c r="M477">
        <v>0.25011158278656997</v>
      </c>
      <c r="N477">
        <v>6632</v>
      </c>
      <c r="R477">
        <v>1181264</v>
      </c>
      <c r="T477">
        <v>4615975</v>
      </c>
    </row>
    <row r="478" spans="1:21" x14ac:dyDescent="0.3">
      <c r="A478" s="1">
        <v>45690</v>
      </c>
      <c r="B478">
        <v>107</v>
      </c>
      <c r="C478">
        <v>1886.59672756332</v>
      </c>
      <c r="D478">
        <v>4695.5773219612602</v>
      </c>
      <c r="E478">
        <v>57</v>
      </c>
      <c r="F478">
        <v>57</v>
      </c>
      <c r="K478">
        <v>0.430942487405097</v>
      </c>
      <c r="L478">
        <v>1.4605264980264201</v>
      </c>
      <c r="M478">
        <v>0.25011158278656997</v>
      </c>
      <c r="N478">
        <v>7011</v>
      </c>
      <c r="R478">
        <v>1566203</v>
      </c>
      <c r="T478">
        <v>4077944</v>
      </c>
    </row>
    <row r="479" spans="1:21" x14ac:dyDescent="0.3">
      <c r="A479" s="1">
        <v>45691</v>
      </c>
      <c r="B479">
        <v>122</v>
      </c>
      <c r="C479">
        <v>1892.5325493067</v>
      </c>
      <c r="D479">
        <v>5883.9154107698896</v>
      </c>
      <c r="E479">
        <v>62</v>
      </c>
      <c r="F479">
        <v>62</v>
      </c>
      <c r="K479">
        <v>0.50545155157918498</v>
      </c>
      <c r="L479">
        <v>1.6029269244745701</v>
      </c>
      <c r="M479">
        <v>0.28273483271525301</v>
      </c>
      <c r="N479">
        <v>8666</v>
      </c>
      <c r="R479">
        <v>1251280</v>
      </c>
      <c r="T479">
        <v>4521266</v>
      </c>
    </row>
    <row r="480" spans="1:21" x14ac:dyDescent="0.3">
      <c r="A480" s="1">
        <v>45692</v>
      </c>
      <c r="B480">
        <v>92</v>
      </c>
      <c r="C480">
        <v>1839.99122962255</v>
      </c>
      <c r="D480">
        <v>4464.36305109364</v>
      </c>
      <c r="E480">
        <v>40</v>
      </c>
      <c r="F480">
        <v>40</v>
      </c>
      <c r="K480">
        <v>0.538721908586409</v>
      </c>
      <c r="L480">
        <v>2.3252383383395099</v>
      </c>
      <c r="M480">
        <v>0.235333941323212</v>
      </c>
      <c r="N480">
        <v>6769</v>
      </c>
      <c r="R480">
        <v>903194</v>
      </c>
      <c r="T480">
        <v>3951466</v>
      </c>
    </row>
    <row r="481" spans="1:21" x14ac:dyDescent="0.3">
      <c r="A481" s="1">
        <v>45693</v>
      </c>
      <c r="B481">
        <v>99</v>
      </c>
      <c r="C481">
        <v>1781.9148662534801</v>
      </c>
      <c r="D481">
        <v>3386.81919435499</v>
      </c>
      <c r="E481">
        <v>22</v>
      </c>
      <c r="F481">
        <v>22</v>
      </c>
      <c r="K481">
        <v>0.43290890089002398</v>
      </c>
      <c r="L481">
        <v>1.4648236666544701</v>
      </c>
      <c r="M481">
        <v>0.25011158278656997</v>
      </c>
      <c r="N481">
        <v>5158</v>
      </c>
      <c r="R481">
        <v>910138</v>
      </c>
      <c r="T481">
        <v>2768479</v>
      </c>
      <c r="U481">
        <v>58576</v>
      </c>
    </row>
    <row r="482" spans="1:21" x14ac:dyDescent="0.3">
      <c r="A482" s="1">
        <v>45694</v>
      </c>
      <c r="B482">
        <v>116</v>
      </c>
      <c r="C482">
        <v>1916.58961886938</v>
      </c>
      <c r="D482">
        <v>4702.1287530515801</v>
      </c>
      <c r="E482">
        <v>35</v>
      </c>
      <c r="F482">
        <v>35</v>
      </c>
      <c r="K482">
        <v>0.63760945371366595</v>
      </c>
      <c r="L482">
        <v>1.5118998465386799</v>
      </c>
      <c r="M482">
        <v>0.26751243357154197</v>
      </c>
      <c r="N482">
        <v>7237</v>
      </c>
      <c r="R482">
        <v>1070181</v>
      </c>
      <c r="T482">
        <v>5146384</v>
      </c>
    </row>
    <row r="483" spans="1:21" x14ac:dyDescent="0.3">
      <c r="A483" s="1">
        <v>45695</v>
      </c>
      <c r="B483">
        <v>74</v>
      </c>
      <c r="C483">
        <v>1790.1664991273699</v>
      </c>
      <c r="D483">
        <v>2237.63382770623</v>
      </c>
      <c r="E483">
        <v>43</v>
      </c>
      <c r="F483">
        <v>43</v>
      </c>
      <c r="K483">
        <v>0.53085205167987803</v>
      </c>
      <c r="L483">
        <v>1.63474029155917</v>
      </c>
      <c r="M483">
        <v>0.28273483271525301</v>
      </c>
      <c r="N483">
        <v>3403</v>
      </c>
      <c r="R483">
        <v>1854641</v>
      </c>
      <c r="T483">
        <v>2040223</v>
      </c>
    </row>
    <row r="484" spans="1:21" x14ac:dyDescent="0.3">
      <c r="A484" s="1">
        <v>45696</v>
      </c>
      <c r="B484">
        <v>133</v>
      </c>
      <c r="C484">
        <v>1898.1138188042801</v>
      </c>
      <c r="D484">
        <v>5164.5210043680199</v>
      </c>
      <c r="E484">
        <v>42</v>
      </c>
      <c r="F484">
        <v>42</v>
      </c>
      <c r="K484">
        <v>0.41008139365872198</v>
      </c>
      <c r="L484">
        <v>1.47172361567525</v>
      </c>
      <c r="M484">
        <v>0.24674900910681899</v>
      </c>
      <c r="N484">
        <v>8017</v>
      </c>
      <c r="R484">
        <v>1629632</v>
      </c>
      <c r="T484">
        <v>4216618</v>
      </c>
    </row>
    <row r="485" spans="1:21" x14ac:dyDescent="0.3">
      <c r="A485" s="1">
        <v>45697</v>
      </c>
      <c r="B485">
        <v>41</v>
      </c>
      <c r="C485">
        <v>1702.4322595721601</v>
      </c>
      <c r="D485">
        <v>1848.44588007787</v>
      </c>
      <c r="E485">
        <v>3</v>
      </c>
      <c r="F485">
        <v>3</v>
      </c>
      <c r="K485">
        <v>0.75751222752832803</v>
      </c>
      <c r="L485">
        <v>1.28683253627714</v>
      </c>
      <c r="M485">
        <v>0.32623246768636599</v>
      </c>
      <c r="N485">
        <v>2903</v>
      </c>
      <c r="T485">
        <v>2450963</v>
      </c>
    </row>
    <row r="486" spans="1:21" x14ac:dyDescent="0.3">
      <c r="A486" s="1">
        <v>45698</v>
      </c>
      <c r="B486">
        <v>187</v>
      </c>
      <c r="C486">
        <v>2150.4490031371402</v>
      </c>
      <c r="D486">
        <v>10092.8894757774</v>
      </c>
      <c r="E486">
        <v>55</v>
      </c>
      <c r="F486">
        <v>55</v>
      </c>
      <c r="K486">
        <v>0.49153514914556401</v>
      </c>
      <c r="L486">
        <v>1.6414175160343301</v>
      </c>
      <c r="M486">
        <v>0.25050819149582898</v>
      </c>
      <c r="N486">
        <v>15103</v>
      </c>
      <c r="R486">
        <v>605042</v>
      </c>
      <c r="T486">
        <v>9837487</v>
      </c>
    </row>
    <row r="487" spans="1:21" x14ac:dyDescent="0.3">
      <c r="A487" s="1">
        <v>45699</v>
      </c>
      <c r="B487">
        <v>135</v>
      </c>
      <c r="C487">
        <v>1915.87143434258</v>
      </c>
      <c r="D487">
        <v>7332.8134708396501</v>
      </c>
      <c r="E487">
        <v>41</v>
      </c>
      <c r="F487">
        <v>41</v>
      </c>
      <c r="K487">
        <v>0.51262301743572303</v>
      </c>
      <c r="L487">
        <v>1.72490259889717</v>
      </c>
      <c r="M487">
        <v>0.25011158278656997</v>
      </c>
      <c r="N487">
        <v>11096</v>
      </c>
      <c r="T487">
        <v>6277723</v>
      </c>
    </row>
    <row r="488" spans="1:21" x14ac:dyDescent="0.3">
      <c r="A488" s="1">
        <v>45700</v>
      </c>
      <c r="B488">
        <v>91</v>
      </c>
      <c r="C488">
        <v>1836.0006180186299</v>
      </c>
      <c r="D488">
        <v>3401.59998514886</v>
      </c>
      <c r="E488">
        <v>42</v>
      </c>
      <c r="F488">
        <v>42</v>
      </c>
      <c r="K488">
        <v>0.40226445495770102</v>
      </c>
      <c r="L488">
        <v>1.64612482087347</v>
      </c>
      <c r="M488">
        <v>0.25011158278656997</v>
      </c>
      <c r="N488">
        <v>5379</v>
      </c>
      <c r="R488">
        <v>1829280</v>
      </c>
      <c r="T488">
        <v>2889241</v>
      </c>
    </row>
    <row r="489" spans="1:21" x14ac:dyDescent="0.3">
      <c r="A489" s="1">
        <v>45701</v>
      </c>
      <c r="B489">
        <v>144</v>
      </c>
      <c r="C489">
        <v>1906.8748580721699</v>
      </c>
      <c r="D489">
        <v>7097.7389817735802</v>
      </c>
      <c r="E489">
        <v>45</v>
      </c>
      <c r="F489">
        <v>45</v>
      </c>
      <c r="K489">
        <v>0.46097801872091798</v>
      </c>
      <c r="L489">
        <v>1.4571336658940099</v>
      </c>
      <c r="M489">
        <v>0.25011158278656997</v>
      </c>
      <c r="N489">
        <v>10484</v>
      </c>
      <c r="R489">
        <v>545057</v>
      </c>
      <c r="T489">
        <v>5533926</v>
      </c>
    </row>
    <row r="490" spans="1:21" x14ac:dyDescent="0.3">
      <c r="A490" s="1">
        <v>45702</v>
      </c>
      <c r="B490">
        <v>120</v>
      </c>
      <c r="C490">
        <v>1847.70148076339</v>
      </c>
      <c r="D490">
        <v>5207.8332348146196</v>
      </c>
      <c r="E490">
        <v>32</v>
      </c>
      <c r="F490">
        <v>32</v>
      </c>
      <c r="K490">
        <v>0.49815537909380297</v>
      </c>
      <c r="L490">
        <v>1.87946530113576</v>
      </c>
      <c r="M490">
        <v>0.253150285122338</v>
      </c>
      <c r="N490">
        <v>7990</v>
      </c>
      <c r="R490">
        <v>816469</v>
      </c>
      <c r="T490">
        <v>4182498</v>
      </c>
    </row>
    <row r="491" spans="1:21" x14ac:dyDescent="0.3">
      <c r="A491" s="1">
        <v>45703</v>
      </c>
      <c r="B491">
        <v>142</v>
      </c>
      <c r="C491">
        <v>2032.8105199823799</v>
      </c>
      <c r="D491">
        <v>5831.3552398956799</v>
      </c>
      <c r="E491">
        <v>63</v>
      </c>
      <c r="F491">
        <v>63</v>
      </c>
      <c r="K491">
        <v>0.43130387999576603</v>
      </c>
      <c r="L491">
        <v>1.4494789045470799</v>
      </c>
      <c r="M491">
        <v>0.26196219329812498</v>
      </c>
      <c r="N491">
        <v>8719</v>
      </c>
      <c r="R491">
        <v>2401837</v>
      </c>
      <c r="T491">
        <v>5805917</v>
      </c>
    </row>
    <row r="492" spans="1:21" x14ac:dyDescent="0.3">
      <c r="A492" s="1">
        <v>45704</v>
      </c>
      <c r="B492">
        <v>53</v>
      </c>
      <c r="C492">
        <v>1726.2278784448199</v>
      </c>
      <c r="D492">
        <v>531.299510508916</v>
      </c>
      <c r="E492">
        <v>42</v>
      </c>
      <c r="F492">
        <v>42</v>
      </c>
      <c r="K492">
        <v>0.38942358197900501</v>
      </c>
      <c r="L492">
        <v>1.3989754605875699</v>
      </c>
      <c r="M492">
        <v>0.26937152008825199</v>
      </c>
      <c r="N492">
        <v>1001</v>
      </c>
      <c r="R492">
        <v>2598561</v>
      </c>
      <c r="T492">
        <v>97890</v>
      </c>
    </row>
    <row r="493" spans="1:21" x14ac:dyDescent="0.3">
      <c r="A493" s="1">
        <v>45705</v>
      </c>
      <c r="B493">
        <v>92</v>
      </c>
      <c r="C493">
        <v>1780.8865787002401</v>
      </c>
      <c r="D493">
        <v>4303.4179976473297</v>
      </c>
      <c r="E493">
        <v>33</v>
      </c>
      <c r="F493">
        <v>33</v>
      </c>
      <c r="K493">
        <v>0.50963774235914805</v>
      </c>
      <c r="L493">
        <v>1.5210927133062699</v>
      </c>
      <c r="M493">
        <v>0.26098599942946399</v>
      </c>
      <c r="N493">
        <v>6629</v>
      </c>
      <c r="R493">
        <v>693299</v>
      </c>
      <c r="T493">
        <v>3116143</v>
      </c>
    </row>
    <row r="494" spans="1:21" x14ac:dyDescent="0.3">
      <c r="A494" s="1">
        <v>45706</v>
      </c>
      <c r="B494">
        <v>87</v>
      </c>
      <c r="C494">
        <v>1813.6923360143401</v>
      </c>
      <c r="D494">
        <v>3470.1074740240701</v>
      </c>
      <c r="E494">
        <v>38</v>
      </c>
      <c r="F494">
        <v>38</v>
      </c>
      <c r="K494">
        <v>0.47575176914015799</v>
      </c>
      <c r="L494">
        <v>1.6910115317459</v>
      </c>
      <c r="M494">
        <v>0.25011158278656997</v>
      </c>
      <c r="N494">
        <v>5127</v>
      </c>
      <c r="R494">
        <v>1307605</v>
      </c>
      <c r="T494">
        <v>3047267</v>
      </c>
    </row>
    <row r="495" spans="1:21" x14ac:dyDescent="0.3">
      <c r="A495" s="1">
        <v>45707</v>
      </c>
      <c r="B495">
        <v>146</v>
      </c>
      <c r="C495">
        <v>2040.7385545796501</v>
      </c>
      <c r="D495">
        <v>6232.1129770787402</v>
      </c>
      <c r="E495">
        <v>38</v>
      </c>
      <c r="F495">
        <v>38</v>
      </c>
      <c r="K495">
        <v>0.65537511688867101</v>
      </c>
      <c r="L495">
        <v>1.71438669024751</v>
      </c>
      <c r="M495">
        <v>0.25011158278656997</v>
      </c>
      <c r="N495">
        <v>9505</v>
      </c>
      <c r="R495">
        <v>1036384</v>
      </c>
      <c r="T495">
        <v>6732392</v>
      </c>
      <c r="U495">
        <v>295343</v>
      </c>
    </row>
    <row r="496" spans="1:21" x14ac:dyDescent="0.3">
      <c r="A496" s="1">
        <v>45708</v>
      </c>
      <c r="B496">
        <v>145</v>
      </c>
      <c r="C496">
        <v>1939.58752155401</v>
      </c>
      <c r="D496">
        <v>4725.4825349089097</v>
      </c>
      <c r="E496">
        <v>45</v>
      </c>
      <c r="F496">
        <v>45</v>
      </c>
      <c r="K496">
        <v>0.43094562117144097</v>
      </c>
      <c r="L496">
        <v>1.49745815090997</v>
      </c>
      <c r="M496">
        <v>0.25011158278656997</v>
      </c>
      <c r="N496">
        <v>7312</v>
      </c>
      <c r="R496">
        <v>1931562</v>
      </c>
      <c r="T496">
        <v>4637332</v>
      </c>
    </row>
    <row r="497" spans="1:25" x14ac:dyDescent="0.3">
      <c r="A497" s="1">
        <v>45709</v>
      </c>
      <c r="B497">
        <v>126</v>
      </c>
      <c r="C497">
        <v>1853.3210455596</v>
      </c>
      <c r="D497">
        <v>6899.5637156405701</v>
      </c>
      <c r="E497">
        <v>63</v>
      </c>
      <c r="F497">
        <v>54</v>
      </c>
      <c r="K497">
        <v>0.55199089066701601</v>
      </c>
      <c r="L497">
        <v>2.4925595206403401</v>
      </c>
      <c r="M497">
        <v>0.25011158278656997</v>
      </c>
      <c r="N497">
        <v>9815</v>
      </c>
      <c r="R497">
        <v>771488</v>
      </c>
      <c r="T497">
        <v>4321974</v>
      </c>
    </row>
    <row r="498" spans="1:25" x14ac:dyDescent="0.3">
      <c r="A498" s="1">
        <v>45710</v>
      </c>
      <c r="B498">
        <v>122</v>
      </c>
      <c r="C498">
        <v>1929.3426527602701</v>
      </c>
      <c r="D498">
        <v>4975.30856569152</v>
      </c>
      <c r="E498">
        <v>51</v>
      </c>
      <c r="F498">
        <v>51</v>
      </c>
      <c r="K498">
        <v>0.41380582843104202</v>
      </c>
      <c r="L498">
        <v>1.52735228818911</v>
      </c>
      <c r="M498">
        <v>0.26098599942946399</v>
      </c>
      <c r="N498">
        <v>7427</v>
      </c>
      <c r="R498">
        <v>1826785</v>
      </c>
      <c r="T498">
        <v>4565703</v>
      </c>
    </row>
    <row r="499" spans="1:25" x14ac:dyDescent="0.3">
      <c r="A499" s="1">
        <v>45711</v>
      </c>
      <c r="B499">
        <v>80</v>
      </c>
      <c r="C499">
        <v>1810.3418276077</v>
      </c>
      <c r="D499">
        <v>4268.0780805354698</v>
      </c>
      <c r="E499">
        <v>16</v>
      </c>
      <c r="F499">
        <v>16</v>
      </c>
      <c r="K499">
        <v>0.47756710487009302</v>
      </c>
      <c r="L499">
        <v>1.8631911560851799</v>
      </c>
      <c r="M499">
        <v>0.263601757384126</v>
      </c>
      <c r="N499">
        <v>6408</v>
      </c>
      <c r="T499">
        <v>4385978</v>
      </c>
    </row>
    <row r="500" spans="1:25" x14ac:dyDescent="0.3">
      <c r="A500" s="1">
        <v>45712</v>
      </c>
      <c r="B500">
        <v>113</v>
      </c>
      <c r="C500">
        <v>1892.46498484723</v>
      </c>
      <c r="D500">
        <v>6684.2455287179</v>
      </c>
      <c r="E500">
        <v>49</v>
      </c>
      <c r="F500">
        <v>49</v>
      </c>
      <c r="K500">
        <v>0.58761158290238502</v>
      </c>
      <c r="L500">
        <v>1.7782588730347699</v>
      </c>
      <c r="M500">
        <v>0.24676718833067099</v>
      </c>
      <c r="N500">
        <v>9844</v>
      </c>
      <c r="T500">
        <v>5858595</v>
      </c>
    </row>
    <row r="501" spans="1:25" x14ac:dyDescent="0.3">
      <c r="A501" s="1">
        <v>45713</v>
      </c>
      <c r="B501">
        <v>94</v>
      </c>
      <c r="C501">
        <v>1854.88993641704</v>
      </c>
      <c r="D501">
        <v>5227.2766926131499</v>
      </c>
      <c r="E501">
        <v>30</v>
      </c>
      <c r="F501">
        <v>30</v>
      </c>
      <c r="K501">
        <v>0.46230243994477299</v>
      </c>
      <c r="L501">
        <v>1.4853723305908499</v>
      </c>
      <c r="M501">
        <v>0.24598092915907099</v>
      </c>
      <c r="N501">
        <v>7748</v>
      </c>
      <c r="T501">
        <v>4790883</v>
      </c>
      <c r="U501">
        <v>172012</v>
      </c>
    </row>
    <row r="502" spans="1:25" x14ac:dyDescent="0.3">
      <c r="A502" s="1">
        <v>45714</v>
      </c>
      <c r="B502">
        <v>131</v>
      </c>
      <c r="C502">
        <v>1966.20389389141</v>
      </c>
      <c r="D502">
        <v>6504.3877930888002</v>
      </c>
      <c r="E502">
        <v>44</v>
      </c>
      <c r="F502">
        <v>44</v>
      </c>
      <c r="K502">
        <v>0.44626574942076602</v>
      </c>
      <c r="L502">
        <v>1.6036468918612801</v>
      </c>
      <c r="M502">
        <v>0.25011158278656997</v>
      </c>
      <c r="N502">
        <v>9634</v>
      </c>
      <c r="R502">
        <v>619622</v>
      </c>
      <c r="T502">
        <v>6516878</v>
      </c>
    </row>
    <row r="503" spans="1:25" x14ac:dyDescent="0.3">
      <c r="A503" s="1">
        <v>45715</v>
      </c>
      <c r="B503">
        <v>84</v>
      </c>
      <c r="C503">
        <v>1835.7205276042901</v>
      </c>
      <c r="D503">
        <v>2940.2186995684501</v>
      </c>
      <c r="E503">
        <v>41</v>
      </c>
      <c r="F503">
        <v>41</v>
      </c>
      <c r="K503">
        <v>0.561824382749466</v>
      </c>
      <c r="L503">
        <v>1.4941015790110099</v>
      </c>
      <c r="M503">
        <v>0.25011158278656997</v>
      </c>
      <c r="N503">
        <v>4337</v>
      </c>
      <c r="R503">
        <v>1770331</v>
      </c>
      <c r="T503">
        <v>2753497</v>
      </c>
      <c r="U503">
        <v>84617</v>
      </c>
    </row>
    <row r="504" spans="1:25" x14ac:dyDescent="0.3">
      <c r="A504" s="1">
        <v>45716</v>
      </c>
      <c r="B504">
        <v>87</v>
      </c>
      <c r="C504">
        <v>1839.6380612621799</v>
      </c>
      <c r="D504">
        <v>3716.7044582107601</v>
      </c>
      <c r="E504">
        <v>33</v>
      </c>
      <c r="F504">
        <v>33</v>
      </c>
      <c r="K504">
        <v>0.610330786640088</v>
      </c>
      <c r="L504">
        <v>1.84196414398794</v>
      </c>
      <c r="M504">
        <v>0.28470200625352698</v>
      </c>
      <c r="N504">
        <v>5605</v>
      </c>
      <c r="R504">
        <v>908465</v>
      </c>
      <c r="T504">
        <v>3939432</v>
      </c>
    </row>
    <row r="505" spans="1:25" x14ac:dyDescent="0.3">
      <c r="A505" s="1">
        <v>45717</v>
      </c>
      <c r="B505">
        <v>206</v>
      </c>
      <c r="C505">
        <v>2179.3333779560498</v>
      </c>
      <c r="D505">
        <v>10583.004056523199</v>
      </c>
      <c r="E505">
        <v>58</v>
      </c>
      <c r="F505">
        <v>58</v>
      </c>
      <c r="K505">
        <v>0.58750838274450801</v>
      </c>
      <c r="L505">
        <v>1.5719233332818701</v>
      </c>
      <c r="M505">
        <v>0.25011158278656997</v>
      </c>
      <c r="N505">
        <v>15414</v>
      </c>
      <c r="T505">
        <v>11002669</v>
      </c>
    </row>
    <row r="506" spans="1:25" x14ac:dyDescent="0.3">
      <c r="A506" s="1">
        <v>45718</v>
      </c>
      <c r="B506">
        <v>69</v>
      </c>
      <c r="C506">
        <v>1733.91076037997</v>
      </c>
      <c r="D506">
        <v>3842.1474420724198</v>
      </c>
      <c r="E506">
        <v>24</v>
      </c>
      <c r="F506">
        <v>24</v>
      </c>
      <c r="K506">
        <v>0.64305887997952405</v>
      </c>
      <c r="L506">
        <v>1.3785562778315299</v>
      </c>
      <c r="M506">
        <v>0.26098599942946399</v>
      </c>
      <c r="N506">
        <v>5805</v>
      </c>
      <c r="T506">
        <v>3015430</v>
      </c>
    </row>
    <row r="507" spans="1:25" x14ac:dyDescent="0.3">
      <c r="A507" s="1">
        <v>45719</v>
      </c>
      <c r="B507">
        <v>172</v>
      </c>
      <c r="C507">
        <v>1961.4526883563999</v>
      </c>
      <c r="D507">
        <v>7735.8210296744501</v>
      </c>
      <c r="E507">
        <v>43</v>
      </c>
      <c r="F507">
        <v>43</v>
      </c>
      <c r="K507">
        <v>0.475266732777888</v>
      </c>
      <c r="L507">
        <v>1.52709652508998</v>
      </c>
      <c r="M507">
        <v>0.25011158278656997</v>
      </c>
      <c r="N507">
        <v>11546</v>
      </c>
      <c r="R507">
        <v>970804</v>
      </c>
      <c r="T507">
        <v>6057167</v>
      </c>
    </row>
    <row r="508" spans="1:25" x14ac:dyDescent="0.3">
      <c r="A508" s="1">
        <v>45720</v>
      </c>
      <c r="B508">
        <v>115</v>
      </c>
      <c r="C508">
        <v>1949.3886603107401</v>
      </c>
      <c r="D508">
        <v>4650.5813388848201</v>
      </c>
      <c r="E508">
        <v>49</v>
      </c>
      <c r="F508">
        <v>49</v>
      </c>
      <c r="K508">
        <v>0.51482796356356997</v>
      </c>
      <c r="L508">
        <v>1.67516462496509</v>
      </c>
      <c r="M508">
        <v>0.25011158278656997</v>
      </c>
      <c r="N508">
        <v>6996</v>
      </c>
      <c r="R508">
        <v>1723800</v>
      </c>
      <c r="T508">
        <v>5035332</v>
      </c>
    </row>
    <row r="509" spans="1:25" x14ac:dyDescent="0.3">
      <c r="A509" s="1">
        <v>45721</v>
      </c>
      <c r="B509">
        <v>143</v>
      </c>
      <c r="C509">
        <v>2110.08934560647</v>
      </c>
      <c r="D509">
        <v>6494.3079545130004</v>
      </c>
      <c r="E509">
        <v>62</v>
      </c>
      <c r="F509">
        <v>62</v>
      </c>
      <c r="K509">
        <v>0.747104947728229</v>
      </c>
      <c r="L509">
        <v>1.7016063025306201</v>
      </c>
      <c r="M509">
        <v>0.273954253689284</v>
      </c>
      <c r="N509">
        <v>9599</v>
      </c>
      <c r="O509">
        <v>65.819999694824205</v>
      </c>
      <c r="P509">
        <v>65.819999694824205</v>
      </c>
      <c r="Q509">
        <v>65.819999694824205</v>
      </c>
      <c r="R509">
        <v>1733947</v>
      </c>
      <c r="S509">
        <v>9356</v>
      </c>
      <c r="T509">
        <v>7111981</v>
      </c>
      <c r="X509">
        <v>4417</v>
      </c>
      <c r="Y509">
        <v>338827</v>
      </c>
    </row>
    <row r="510" spans="1:25" x14ac:dyDescent="0.3">
      <c r="A510" s="1">
        <v>45722</v>
      </c>
      <c r="B510">
        <v>137</v>
      </c>
      <c r="C510">
        <v>2101.9643178460901</v>
      </c>
      <c r="D510">
        <v>9466.9283046649507</v>
      </c>
      <c r="E510">
        <v>61</v>
      </c>
      <c r="F510">
        <v>61</v>
      </c>
      <c r="G510">
        <v>31.249027252197202</v>
      </c>
      <c r="H510">
        <v>75.694633483886705</v>
      </c>
      <c r="I510">
        <v>31.2624607086181</v>
      </c>
      <c r="J510">
        <v>75.707183837890597</v>
      </c>
      <c r="K510">
        <v>0.77903504361809395</v>
      </c>
      <c r="L510">
        <v>6.2106352225049397</v>
      </c>
      <c r="M510">
        <v>1.16114053097633E-2</v>
      </c>
      <c r="N510">
        <v>7224</v>
      </c>
      <c r="R510">
        <v>2205287</v>
      </c>
      <c r="S510">
        <v>4923</v>
      </c>
      <c r="T510">
        <v>5505835</v>
      </c>
      <c r="Y510">
        <v>1103742</v>
      </c>
    </row>
    <row r="511" spans="1:25" x14ac:dyDescent="0.3">
      <c r="A511" s="1">
        <v>45723</v>
      </c>
      <c r="B511">
        <v>192</v>
      </c>
      <c r="C511">
        <v>2384.6021041388899</v>
      </c>
      <c r="D511">
        <v>8975.0751984745293</v>
      </c>
      <c r="E511">
        <v>58</v>
      </c>
      <c r="F511">
        <v>57</v>
      </c>
      <c r="G511">
        <v>31.249809265136701</v>
      </c>
      <c r="H511">
        <v>75.697166442871094</v>
      </c>
      <c r="I511">
        <v>31.262344360351499</v>
      </c>
      <c r="J511">
        <v>75.707984924316406</v>
      </c>
      <c r="K511">
        <v>0.78908144551497095</v>
      </c>
      <c r="L511">
        <v>4.4437231282940903</v>
      </c>
      <c r="M511">
        <v>2.15088601235539E-3</v>
      </c>
      <c r="N511">
        <v>13201</v>
      </c>
      <c r="S511">
        <v>1154</v>
      </c>
      <c r="T511">
        <v>12670151</v>
      </c>
      <c r="Y511">
        <v>2522502</v>
      </c>
    </row>
    <row r="512" spans="1:25" x14ac:dyDescent="0.3">
      <c r="A512" s="1">
        <v>45724</v>
      </c>
      <c r="B512">
        <v>49</v>
      </c>
      <c r="C512">
        <v>1672.8463340738899</v>
      </c>
      <c r="D512">
        <v>1600.7160757192401</v>
      </c>
      <c r="E512">
        <v>7</v>
      </c>
      <c r="F512">
        <v>7</v>
      </c>
      <c r="G512">
        <v>31.253826141357401</v>
      </c>
      <c r="H512">
        <v>75.693374633789006</v>
      </c>
      <c r="I512">
        <v>31.254478454589801</v>
      </c>
      <c r="J512">
        <v>75.69482421875</v>
      </c>
      <c r="K512">
        <v>0.495531498462491</v>
      </c>
      <c r="L512">
        <v>1.6593182141105101</v>
      </c>
      <c r="M512">
        <v>0.25153756144225897</v>
      </c>
      <c r="N512">
        <v>3215</v>
      </c>
      <c r="T512">
        <v>1812786</v>
      </c>
      <c r="Y512">
        <v>583519</v>
      </c>
    </row>
    <row r="513" spans="1:25" x14ac:dyDescent="0.3">
      <c r="A513" s="1">
        <v>45725</v>
      </c>
      <c r="B513">
        <v>53</v>
      </c>
      <c r="C513">
        <v>1702.38751893474</v>
      </c>
      <c r="D513">
        <v>619.77944386386298</v>
      </c>
      <c r="K513">
        <v>0.34336482459513901</v>
      </c>
      <c r="L513">
        <v>1.3382105203624399</v>
      </c>
      <c r="M513">
        <v>0.30336224418541902</v>
      </c>
      <c r="N513">
        <v>1119</v>
      </c>
      <c r="T513">
        <v>956904</v>
      </c>
      <c r="Y513">
        <v>2168417</v>
      </c>
    </row>
    <row r="514" spans="1:25" x14ac:dyDescent="0.3">
      <c r="A514" s="1">
        <v>45726</v>
      </c>
      <c r="B514">
        <v>38</v>
      </c>
      <c r="C514">
        <v>1610.5279187743399</v>
      </c>
      <c r="D514">
        <v>1480.55685911317</v>
      </c>
      <c r="E514">
        <v>6</v>
      </c>
      <c r="F514">
        <v>6</v>
      </c>
      <c r="G514">
        <v>31.249393463134702</v>
      </c>
      <c r="H514">
        <v>75.697319030761705</v>
      </c>
      <c r="I514">
        <v>31.253910064697202</v>
      </c>
      <c r="J514">
        <v>75.699424743652301</v>
      </c>
      <c r="K514">
        <v>0.42285803138027001</v>
      </c>
      <c r="L514">
        <v>3.67613520154101</v>
      </c>
      <c r="M514">
        <v>0.31382299114162399</v>
      </c>
      <c r="N514">
        <v>2300</v>
      </c>
      <c r="T514">
        <v>590782</v>
      </c>
      <c r="Y514">
        <v>423172</v>
      </c>
    </row>
    <row r="515" spans="1:25" x14ac:dyDescent="0.3">
      <c r="A515" s="1">
        <v>45727</v>
      </c>
      <c r="B515">
        <v>149</v>
      </c>
      <c r="C515">
        <v>2167.16823974409</v>
      </c>
      <c r="D515">
        <v>7362.1256563138004</v>
      </c>
      <c r="E515">
        <v>53</v>
      </c>
      <c r="F515">
        <v>53</v>
      </c>
      <c r="G515">
        <v>31.221578598022401</v>
      </c>
      <c r="H515">
        <v>75.694755554199205</v>
      </c>
      <c r="I515">
        <v>31.264938354492099</v>
      </c>
      <c r="J515">
        <v>75.766799926757798</v>
      </c>
      <c r="K515">
        <v>0.57729007896509998</v>
      </c>
      <c r="L515">
        <v>3.6770358388355802</v>
      </c>
      <c r="M515">
        <v>8.3533874131820104E-2</v>
      </c>
      <c r="N515">
        <v>8764</v>
      </c>
      <c r="R515">
        <v>1400760</v>
      </c>
      <c r="T515">
        <v>5076156</v>
      </c>
      <c r="Y515">
        <v>1501984</v>
      </c>
    </row>
    <row r="516" spans="1:25" x14ac:dyDescent="0.3">
      <c r="A516" s="1">
        <v>45728</v>
      </c>
      <c r="B516">
        <v>164</v>
      </c>
      <c r="C516">
        <v>2195.8084224098998</v>
      </c>
      <c r="D516">
        <v>6796.4483676048003</v>
      </c>
      <c r="E516">
        <v>54</v>
      </c>
      <c r="F516">
        <v>54</v>
      </c>
      <c r="G516">
        <v>31.2486457824707</v>
      </c>
      <c r="H516">
        <v>75.698867797851506</v>
      </c>
      <c r="I516">
        <v>31.2620944976806</v>
      </c>
      <c r="J516">
        <v>75.707710266113196</v>
      </c>
      <c r="K516">
        <v>0.493727460581452</v>
      </c>
      <c r="L516">
        <v>1.5435128130085001</v>
      </c>
      <c r="M516">
        <v>0.15127500104312799</v>
      </c>
      <c r="N516">
        <v>11517</v>
      </c>
      <c r="T516">
        <v>7256678</v>
      </c>
      <c r="Y516">
        <v>1921119</v>
      </c>
    </row>
    <row r="517" spans="1:25" x14ac:dyDescent="0.3">
      <c r="A517" s="1">
        <v>45729</v>
      </c>
      <c r="B517">
        <v>180</v>
      </c>
      <c r="C517">
        <v>1941.1256900441299</v>
      </c>
      <c r="D517">
        <v>10058.6882784307</v>
      </c>
      <c r="E517">
        <v>81</v>
      </c>
      <c r="F517">
        <v>81</v>
      </c>
      <c r="G517">
        <v>31.249090194702099</v>
      </c>
      <c r="H517">
        <v>75.697525024414006</v>
      </c>
      <c r="I517">
        <v>31.260108947753899</v>
      </c>
      <c r="J517">
        <v>75.708923339843693</v>
      </c>
      <c r="K517">
        <v>0.483977751701823</v>
      </c>
      <c r="L517">
        <v>3.5234343202265199</v>
      </c>
      <c r="M517">
        <v>1.22591477931997E-2</v>
      </c>
      <c r="N517">
        <v>11094</v>
      </c>
      <c r="R517">
        <v>1799596</v>
      </c>
      <c r="T517">
        <v>7134713</v>
      </c>
      <c r="W517">
        <v>1500000</v>
      </c>
    </row>
    <row r="518" spans="1:25" x14ac:dyDescent="0.3">
      <c r="A518" s="1">
        <v>45730</v>
      </c>
      <c r="B518">
        <v>83</v>
      </c>
      <c r="C518">
        <v>1443.7462651190201</v>
      </c>
      <c r="D518">
        <v>992.62825299604106</v>
      </c>
      <c r="K518">
        <v>0.31620488820209702</v>
      </c>
      <c r="L518">
        <v>0.83434215529628497</v>
      </c>
      <c r="M518">
        <v>0.25105840898103698</v>
      </c>
      <c r="N518">
        <v>1927</v>
      </c>
      <c r="T518">
        <v>135343</v>
      </c>
      <c r="W518">
        <v>3900000</v>
      </c>
      <c r="Y518">
        <v>43468</v>
      </c>
    </row>
    <row r="519" spans="1:25" x14ac:dyDescent="0.3">
      <c r="A519" s="1">
        <v>45731</v>
      </c>
      <c r="B519">
        <v>41</v>
      </c>
      <c r="C519">
        <v>1669.44981086955</v>
      </c>
      <c r="D519">
        <v>1803.00843153554</v>
      </c>
      <c r="E519">
        <v>9</v>
      </c>
      <c r="F519">
        <v>9</v>
      </c>
      <c r="G519">
        <v>31.253026962280199</v>
      </c>
      <c r="H519">
        <v>75.694793701171804</v>
      </c>
      <c r="I519">
        <v>31.2541790008544</v>
      </c>
      <c r="J519">
        <v>75.696327209472599</v>
      </c>
      <c r="K519">
        <v>0.66930157000241597</v>
      </c>
      <c r="L519">
        <v>1.45607320945247</v>
      </c>
      <c r="M519">
        <v>9.5318701712609102E-2</v>
      </c>
      <c r="N519">
        <v>3150</v>
      </c>
      <c r="T519">
        <v>2990711</v>
      </c>
      <c r="Y519">
        <v>96398</v>
      </c>
    </row>
    <row r="520" spans="1:25" x14ac:dyDescent="0.3">
      <c r="A520" s="1">
        <v>45732</v>
      </c>
      <c r="B520">
        <v>11</v>
      </c>
      <c r="C520">
        <v>1546.1721726892599</v>
      </c>
      <c r="D520">
        <v>517.14925685887397</v>
      </c>
      <c r="E520">
        <v>2</v>
      </c>
      <c r="F520">
        <v>2</v>
      </c>
      <c r="K520">
        <v>0.43627677182809199</v>
      </c>
      <c r="L520">
        <v>1.74390792892956</v>
      </c>
      <c r="M520">
        <v>0.31382298082787502</v>
      </c>
      <c r="N520">
        <v>1014</v>
      </c>
      <c r="T520">
        <v>1024369</v>
      </c>
    </row>
    <row r="521" spans="1:25" x14ac:dyDescent="0.3">
      <c r="A521" s="1">
        <v>45733</v>
      </c>
      <c r="B521">
        <v>139</v>
      </c>
      <c r="C521">
        <v>1883.1118381839301</v>
      </c>
      <c r="D521">
        <v>7869.13454599339</v>
      </c>
      <c r="E521">
        <v>43</v>
      </c>
      <c r="F521">
        <v>43</v>
      </c>
      <c r="G521">
        <v>31.251295089721602</v>
      </c>
      <c r="H521">
        <v>75.684181213378906</v>
      </c>
      <c r="I521">
        <v>31.274950027465799</v>
      </c>
      <c r="J521">
        <v>75.706703186035099</v>
      </c>
      <c r="K521">
        <v>0.523372224965722</v>
      </c>
      <c r="L521">
        <v>4.4274990092724202</v>
      </c>
      <c r="M521">
        <v>5.8680596462484899E-2</v>
      </c>
      <c r="N521">
        <v>8077</v>
      </c>
      <c r="R521">
        <v>1662161</v>
      </c>
      <c r="T521">
        <v>5700555</v>
      </c>
    </row>
    <row r="522" spans="1:25" x14ac:dyDescent="0.3">
      <c r="A522" s="1">
        <v>45734</v>
      </c>
      <c r="B522">
        <v>60</v>
      </c>
      <c r="C522">
        <v>1650.57800850743</v>
      </c>
      <c r="D522">
        <v>3855.1626887561602</v>
      </c>
      <c r="E522">
        <v>26</v>
      </c>
      <c r="F522">
        <v>26</v>
      </c>
      <c r="G522">
        <v>31.249036788940401</v>
      </c>
      <c r="H522">
        <v>75.697341918945298</v>
      </c>
      <c r="I522">
        <v>31.2599372863769</v>
      </c>
      <c r="J522">
        <v>75.707527160644503</v>
      </c>
      <c r="K522">
        <v>0.44356783366603397</v>
      </c>
      <c r="L522">
        <v>4.1747574127551701</v>
      </c>
      <c r="M522">
        <v>0.25105840898103698</v>
      </c>
      <c r="N522">
        <v>4288</v>
      </c>
      <c r="R522">
        <v>798861</v>
      </c>
      <c r="T522">
        <v>2169659</v>
      </c>
    </row>
    <row r="523" spans="1:25" x14ac:dyDescent="0.3">
      <c r="A523" s="1">
        <v>45735</v>
      </c>
      <c r="B523">
        <v>158</v>
      </c>
      <c r="C523">
        <v>1890.6747993415299</v>
      </c>
      <c r="D523">
        <v>6772.9567162722797</v>
      </c>
      <c r="E523">
        <v>52</v>
      </c>
      <c r="F523">
        <v>52</v>
      </c>
      <c r="G523">
        <v>31.249080657958899</v>
      </c>
      <c r="H523">
        <v>75.694816589355398</v>
      </c>
      <c r="I523">
        <v>31.260236740112301</v>
      </c>
      <c r="J523">
        <v>75.707580566406193</v>
      </c>
      <c r="K523">
        <v>0.45651369380256801</v>
      </c>
      <c r="L523">
        <v>1.46508544771995</v>
      </c>
      <c r="M523">
        <v>8.8814323204893394E-2</v>
      </c>
      <c r="N523">
        <v>11303</v>
      </c>
      <c r="R523">
        <v>1244493</v>
      </c>
      <c r="T523">
        <v>6292359</v>
      </c>
    </row>
    <row r="524" spans="1:25" x14ac:dyDescent="0.3">
      <c r="A524" s="1">
        <v>45736</v>
      </c>
      <c r="B524">
        <v>132</v>
      </c>
      <c r="C524">
        <v>1997.75909548292</v>
      </c>
      <c r="D524">
        <v>5567.8527972955098</v>
      </c>
      <c r="E524">
        <v>47</v>
      </c>
      <c r="F524">
        <v>47</v>
      </c>
      <c r="G524">
        <v>31.249080657958899</v>
      </c>
      <c r="H524">
        <v>75.695755004882798</v>
      </c>
      <c r="I524">
        <v>31.260288238525298</v>
      </c>
      <c r="J524">
        <v>75.707527160644503</v>
      </c>
      <c r="K524">
        <v>0.52479850078928603</v>
      </c>
      <c r="L524">
        <v>3.27196357468473</v>
      </c>
      <c r="M524">
        <v>0.27325638930213397</v>
      </c>
      <c r="N524">
        <v>5157</v>
      </c>
      <c r="R524">
        <v>2515802</v>
      </c>
      <c r="T524">
        <v>4015244</v>
      </c>
      <c r="V524">
        <v>900000</v>
      </c>
      <c r="Y524">
        <v>363744</v>
      </c>
    </row>
    <row r="525" spans="1:25" x14ac:dyDescent="0.3">
      <c r="A525" s="1">
        <v>45737</v>
      </c>
      <c r="B525">
        <v>121</v>
      </c>
      <c r="C525">
        <v>1853.4886607271401</v>
      </c>
      <c r="D525">
        <v>6017.66071576594</v>
      </c>
      <c r="E525">
        <v>34</v>
      </c>
      <c r="F525">
        <v>34</v>
      </c>
      <c r="G525">
        <v>31.248918533325099</v>
      </c>
      <c r="H525">
        <v>75.694770812988196</v>
      </c>
      <c r="I525">
        <v>31.2552185058593</v>
      </c>
      <c r="J525">
        <v>75.705841064453097</v>
      </c>
      <c r="K525">
        <v>0.53847782608768602</v>
      </c>
      <c r="L525">
        <v>2.7333658021859701</v>
      </c>
      <c r="M525">
        <v>9.6305831260322994E-2</v>
      </c>
      <c r="N525">
        <v>9696</v>
      </c>
      <c r="T525">
        <v>6911653</v>
      </c>
    </row>
    <row r="526" spans="1:25" x14ac:dyDescent="0.3">
      <c r="A526" s="1">
        <v>45738</v>
      </c>
      <c r="B526">
        <v>199</v>
      </c>
      <c r="C526">
        <v>2276.4924127311401</v>
      </c>
      <c r="D526">
        <v>6871.6860896415401</v>
      </c>
      <c r="E526">
        <v>85</v>
      </c>
      <c r="F526">
        <v>85</v>
      </c>
      <c r="G526">
        <v>31.249107360839801</v>
      </c>
      <c r="H526">
        <v>75.694770812988196</v>
      </c>
      <c r="I526">
        <v>31.255773544311499</v>
      </c>
      <c r="J526">
        <v>75.705413818359304</v>
      </c>
      <c r="K526">
        <v>0.49361167331908501</v>
      </c>
      <c r="L526">
        <v>4.8303243188897698</v>
      </c>
      <c r="M526">
        <v>4.5310838983436498E-2</v>
      </c>
      <c r="N526">
        <v>10329</v>
      </c>
      <c r="R526">
        <v>3292102</v>
      </c>
      <c r="T526">
        <v>6670298</v>
      </c>
      <c r="Y526">
        <v>1509753</v>
      </c>
    </row>
    <row r="527" spans="1:25" x14ac:dyDescent="0.3">
      <c r="A527" s="1">
        <v>45739</v>
      </c>
      <c r="B527">
        <v>143</v>
      </c>
      <c r="C527">
        <v>1783.9193077382399</v>
      </c>
      <c r="D527">
        <v>7339.3483998660504</v>
      </c>
      <c r="E527">
        <v>50</v>
      </c>
      <c r="F527">
        <v>50</v>
      </c>
      <c r="G527">
        <v>31.249086380004801</v>
      </c>
      <c r="H527">
        <v>75.697601318359304</v>
      </c>
      <c r="I527">
        <v>31.260124206542901</v>
      </c>
      <c r="J527">
        <v>75.707649230957003</v>
      </c>
      <c r="K527">
        <v>0.59702154615699699</v>
      </c>
      <c r="L527">
        <v>3.8123503321275698</v>
      </c>
      <c r="M527">
        <v>0.26151917602191299</v>
      </c>
      <c r="N527">
        <v>6711</v>
      </c>
      <c r="R527">
        <v>1902055</v>
      </c>
      <c r="T527">
        <v>3947789</v>
      </c>
      <c r="W527">
        <v>1800000</v>
      </c>
    </row>
    <row r="528" spans="1:25" x14ac:dyDescent="0.3">
      <c r="A528" s="1">
        <v>45740</v>
      </c>
      <c r="B528">
        <v>162</v>
      </c>
      <c r="C528">
        <v>2025.9103008710399</v>
      </c>
      <c r="D528">
        <v>6789.3031504016699</v>
      </c>
      <c r="E528">
        <v>51</v>
      </c>
      <c r="F528">
        <v>51</v>
      </c>
      <c r="G528">
        <v>31.249130249023398</v>
      </c>
      <c r="H528">
        <v>75.697807312011705</v>
      </c>
      <c r="I528">
        <v>31.257947921752901</v>
      </c>
      <c r="J528">
        <v>75.706787109375</v>
      </c>
      <c r="K528">
        <v>0.48204076135752</v>
      </c>
      <c r="L528">
        <v>4.2490435150947903</v>
      </c>
      <c r="M528">
        <v>6.8305774295311497E-2</v>
      </c>
      <c r="N528">
        <v>8072</v>
      </c>
      <c r="R528">
        <v>2059252</v>
      </c>
      <c r="T528">
        <v>3466342</v>
      </c>
      <c r="U528">
        <v>67611</v>
      </c>
      <c r="Y528">
        <v>1456244</v>
      </c>
    </row>
    <row r="529" spans="1:25" x14ac:dyDescent="0.3">
      <c r="A529" s="1">
        <v>45741</v>
      </c>
      <c r="B529">
        <v>131</v>
      </c>
      <c r="C529">
        <v>1860.0824806805199</v>
      </c>
      <c r="D529">
        <v>4716.2285623752696</v>
      </c>
      <c r="E529">
        <v>40</v>
      </c>
      <c r="F529">
        <v>40</v>
      </c>
      <c r="G529">
        <v>31.249160766601499</v>
      </c>
      <c r="H529">
        <v>75.696762084960895</v>
      </c>
      <c r="I529">
        <v>31.260267257690401</v>
      </c>
      <c r="J529">
        <v>75.706710815429602</v>
      </c>
      <c r="K529">
        <v>0.88343034756118999</v>
      </c>
      <c r="L529">
        <v>5.1468467819643102</v>
      </c>
      <c r="M529">
        <v>0.26151917602191299</v>
      </c>
      <c r="N529">
        <v>4481</v>
      </c>
      <c r="R529">
        <v>2475697</v>
      </c>
      <c r="T529">
        <v>1654847</v>
      </c>
      <c r="Y529">
        <v>1509843</v>
      </c>
    </row>
    <row r="530" spans="1:25" x14ac:dyDescent="0.3">
      <c r="A530" s="1">
        <v>45742</v>
      </c>
      <c r="B530">
        <v>110</v>
      </c>
      <c r="C530">
        <v>1832.63845988817</v>
      </c>
      <c r="D530">
        <v>4661.82030509385</v>
      </c>
      <c r="E530">
        <v>41</v>
      </c>
      <c r="F530">
        <v>41</v>
      </c>
      <c r="G530">
        <v>31.2489929199218</v>
      </c>
      <c r="H530">
        <v>75.696205139160099</v>
      </c>
      <c r="I530">
        <v>31.251567840576101</v>
      </c>
      <c r="J530">
        <v>75.704971313476506</v>
      </c>
      <c r="K530">
        <v>0.41788051491754402</v>
      </c>
      <c r="L530">
        <v>1.5327344216938501</v>
      </c>
      <c r="M530">
        <v>3.6992604434602797E-2</v>
      </c>
      <c r="N530">
        <v>6218</v>
      </c>
      <c r="R530">
        <v>2104065</v>
      </c>
      <c r="T530">
        <v>3769737</v>
      </c>
      <c r="U530">
        <v>213869</v>
      </c>
    </row>
    <row r="531" spans="1:25" x14ac:dyDescent="0.3">
      <c r="A531" s="1">
        <v>45743</v>
      </c>
      <c r="B531">
        <v>124</v>
      </c>
      <c r="C531">
        <v>1862.09170790743</v>
      </c>
      <c r="D531">
        <v>5172.2799031963996</v>
      </c>
      <c r="E531">
        <v>20</v>
      </c>
      <c r="F531">
        <v>20</v>
      </c>
      <c r="G531">
        <v>31.250591278076101</v>
      </c>
      <c r="H531">
        <v>75.701751708984304</v>
      </c>
      <c r="I531">
        <v>31.2569866180419</v>
      </c>
      <c r="J531">
        <v>75.706565856933594</v>
      </c>
      <c r="K531">
        <v>0.55915140415219</v>
      </c>
      <c r="L531">
        <v>2.3202219494859899</v>
      </c>
      <c r="M531">
        <v>0.27080453552459599</v>
      </c>
      <c r="N531">
        <v>8115</v>
      </c>
      <c r="T531">
        <v>4466391</v>
      </c>
      <c r="Y531">
        <v>1166552</v>
      </c>
    </row>
    <row r="532" spans="1:25" x14ac:dyDescent="0.3">
      <c r="A532" s="1">
        <v>45744</v>
      </c>
      <c r="B532">
        <v>125</v>
      </c>
      <c r="C532">
        <v>1768.43252633318</v>
      </c>
      <c r="D532">
        <v>6275.7541136077398</v>
      </c>
      <c r="E532">
        <v>41</v>
      </c>
      <c r="F532">
        <v>41</v>
      </c>
      <c r="G532">
        <v>31.249141693115199</v>
      </c>
      <c r="H532">
        <v>75.697883605957003</v>
      </c>
      <c r="I532">
        <v>31.2620544433593</v>
      </c>
      <c r="J532">
        <v>75.705009460449205</v>
      </c>
      <c r="K532">
        <v>0.53469085943471495</v>
      </c>
      <c r="L532">
        <v>3.3327587945830599</v>
      </c>
      <c r="M532">
        <v>0.10782637981695201</v>
      </c>
      <c r="N532">
        <v>8093</v>
      </c>
      <c r="R532">
        <v>1111210</v>
      </c>
      <c r="T532">
        <v>4093177</v>
      </c>
    </row>
    <row r="533" spans="1:25" x14ac:dyDescent="0.3">
      <c r="A533" s="1">
        <v>45745</v>
      </c>
      <c r="B533">
        <v>88</v>
      </c>
      <c r="C533">
        <v>1725.5363197828401</v>
      </c>
      <c r="D533">
        <v>4699.4549192903896</v>
      </c>
      <c r="E533">
        <v>50</v>
      </c>
      <c r="F533">
        <v>50</v>
      </c>
      <c r="G533">
        <v>31.249139785766602</v>
      </c>
      <c r="H533">
        <v>75.697715759277301</v>
      </c>
      <c r="I533">
        <v>31.260498046875</v>
      </c>
      <c r="J533">
        <v>75.707473754882798</v>
      </c>
      <c r="K533">
        <v>0.52738561174431597</v>
      </c>
      <c r="L533">
        <v>1.56843899072421</v>
      </c>
      <c r="M533">
        <v>0.282440710103666</v>
      </c>
      <c r="N533">
        <v>8273</v>
      </c>
      <c r="T533">
        <v>4460463</v>
      </c>
    </row>
    <row r="534" spans="1:25" x14ac:dyDescent="0.3">
      <c r="A534" s="1">
        <v>45746</v>
      </c>
      <c r="B534">
        <v>108</v>
      </c>
      <c r="C534">
        <v>1817.4172705425799</v>
      </c>
      <c r="D534">
        <v>6578.3249600558902</v>
      </c>
      <c r="E534">
        <v>58</v>
      </c>
      <c r="F534">
        <v>58</v>
      </c>
      <c r="G534">
        <v>31.249078750610298</v>
      </c>
      <c r="H534">
        <v>75.697723388671804</v>
      </c>
      <c r="I534">
        <v>31.261306762695298</v>
      </c>
      <c r="J534">
        <v>75.706092834472599</v>
      </c>
      <c r="K534">
        <v>0.586123068301873</v>
      </c>
      <c r="L534">
        <v>2.6024415132832899</v>
      </c>
      <c r="M534">
        <v>0.25105840898103698</v>
      </c>
      <c r="N534">
        <v>6803</v>
      </c>
      <c r="R534">
        <v>1708838</v>
      </c>
      <c r="T534">
        <v>4392087</v>
      </c>
    </row>
    <row r="535" spans="1:25" x14ac:dyDescent="0.3">
      <c r="A535" s="1">
        <v>45747</v>
      </c>
      <c r="B535">
        <v>53</v>
      </c>
      <c r="C535">
        <v>1668.88298753914</v>
      </c>
      <c r="D535">
        <v>792.32841840986998</v>
      </c>
      <c r="E535">
        <v>38</v>
      </c>
      <c r="F535">
        <v>38</v>
      </c>
      <c r="K535">
        <v>0.41700637078506497</v>
      </c>
      <c r="L535">
        <v>1.23611396140903</v>
      </c>
      <c r="M535">
        <v>0.266277575750413</v>
      </c>
      <c r="N535">
        <v>1296</v>
      </c>
      <c r="R535">
        <v>2202243</v>
      </c>
      <c r="T535">
        <v>373300</v>
      </c>
      <c r="U535">
        <v>281077</v>
      </c>
    </row>
    <row r="536" spans="1:25" x14ac:dyDescent="0.3">
      <c r="A536" s="1">
        <v>45748</v>
      </c>
      <c r="B536">
        <v>132</v>
      </c>
      <c r="C536">
        <v>2039.90728198939</v>
      </c>
      <c r="D536">
        <v>4874.5049397288003</v>
      </c>
      <c r="E536">
        <v>38</v>
      </c>
      <c r="F536">
        <v>38</v>
      </c>
      <c r="G536">
        <v>31.2491550445556</v>
      </c>
      <c r="H536">
        <v>75.697883605957003</v>
      </c>
      <c r="I536">
        <v>31.2594280242919</v>
      </c>
      <c r="J536">
        <v>75.706649780273395</v>
      </c>
      <c r="K536">
        <v>0.52039671031875601</v>
      </c>
      <c r="L536">
        <v>2.3497400081011399</v>
      </c>
      <c r="M536">
        <v>4.0621002029126801E-2</v>
      </c>
      <c r="N536">
        <v>5952</v>
      </c>
      <c r="R536">
        <v>1727737</v>
      </c>
      <c r="T536">
        <v>3769568</v>
      </c>
      <c r="Y536">
        <v>1717351</v>
      </c>
    </row>
    <row r="537" spans="1:25" x14ac:dyDescent="0.3">
      <c r="A537" s="1">
        <v>45749</v>
      </c>
      <c r="B537">
        <v>152</v>
      </c>
      <c r="C537">
        <v>1843.6701442764099</v>
      </c>
      <c r="D537">
        <v>5142.5851599787002</v>
      </c>
      <c r="E537">
        <v>43</v>
      </c>
      <c r="F537">
        <v>43</v>
      </c>
      <c r="G537">
        <v>31.248151779174801</v>
      </c>
      <c r="H537">
        <v>75.696647644042898</v>
      </c>
      <c r="I537">
        <v>31.252107620239201</v>
      </c>
      <c r="J537">
        <v>75.705070495605398</v>
      </c>
      <c r="K537">
        <v>0.48726985030464498</v>
      </c>
      <c r="L537">
        <v>2.3878494280426001</v>
      </c>
      <c r="M537">
        <v>0.15456175411919501</v>
      </c>
      <c r="N537">
        <v>8307</v>
      </c>
      <c r="R537">
        <v>2125195</v>
      </c>
      <c r="T537">
        <v>4449492</v>
      </c>
    </row>
    <row r="538" spans="1:25" x14ac:dyDescent="0.3">
      <c r="A538" s="1">
        <v>45750</v>
      </c>
      <c r="B538">
        <v>152</v>
      </c>
      <c r="C538">
        <v>1887.91990549709</v>
      </c>
      <c r="D538">
        <v>6992.0882775846103</v>
      </c>
      <c r="E538">
        <v>50</v>
      </c>
      <c r="F538">
        <v>50</v>
      </c>
      <c r="G538">
        <v>31.249996185302699</v>
      </c>
      <c r="H538">
        <v>75.697547912597599</v>
      </c>
      <c r="I538">
        <v>31.2613105773925</v>
      </c>
      <c r="J538">
        <v>75.706108093261705</v>
      </c>
      <c r="K538">
        <v>0.67987412924503898</v>
      </c>
      <c r="L538">
        <v>3.7492621324437501</v>
      </c>
      <c r="M538">
        <v>0.177762663382457</v>
      </c>
      <c r="N538">
        <v>8107</v>
      </c>
      <c r="R538">
        <v>2245614</v>
      </c>
      <c r="T538">
        <v>5168335</v>
      </c>
    </row>
    <row r="539" spans="1:25" x14ac:dyDescent="0.3">
      <c r="A539" s="1">
        <v>45751</v>
      </c>
      <c r="B539">
        <v>85</v>
      </c>
      <c r="C539">
        <v>1704.14093416798</v>
      </c>
      <c r="D539">
        <v>4535.6174946739102</v>
      </c>
      <c r="E539">
        <v>45</v>
      </c>
      <c r="F539">
        <v>45</v>
      </c>
      <c r="G539">
        <v>31.2490539550781</v>
      </c>
      <c r="H539">
        <v>75.697769165039006</v>
      </c>
      <c r="I539">
        <v>31.257938385009702</v>
      </c>
      <c r="J539">
        <v>75.705108642578097</v>
      </c>
      <c r="K539">
        <v>0.55216198582694598</v>
      </c>
      <c r="L539">
        <v>3.67823596796703</v>
      </c>
      <c r="M539">
        <v>3.6476154137914801E-2</v>
      </c>
      <c r="N539">
        <v>6092</v>
      </c>
      <c r="R539">
        <v>867152</v>
      </c>
      <c r="T539">
        <v>3122694</v>
      </c>
    </row>
    <row r="540" spans="1:25" x14ac:dyDescent="0.3">
      <c r="A540" s="1">
        <v>45752</v>
      </c>
      <c r="B540">
        <v>104</v>
      </c>
      <c r="C540">
        <v>1953.3319558973001</v>
      </c>
      <c r="D540">
        <v>4991.1379501205402</v>
      </c>
      <c r="E540">
        <v>33</v>
      </c>
      <c r="F540">
        <v>33</v>
      </c>
      <c r="G540">
        <v>31.249038696288999</v>
      </c>
      <c r="H540">
        <v>75.697769165039006</v>
      </c>
      <c r="I540">
        <v>31.2591953277587</v>
      </c>
      <c r="J540">
        <v>75.7066650390625</v>
      </c>
      <c r="K540">
        <v>0.53894419999345</v>
      </c>
      <c r="L540">
        <v>3.6597649691689398</v>
      </c>
      <c r="M540">
        <v>0.26890384168232101</v>
      </c>
      <c r="N540">
        <v>5155</v>
      </c>
      <c r="R540">
        <v>1202233</v>
      </c>
      <c r="T540">
        <v>3406139</v>
      </c>
      <c r="Y540">
        <v>1280426</v>
      </c>
    </row>
    <row r="541" spans="1:25" x14ac:dyDescent="0.3">
      <c r="A541" s="1">
        <v>45753</v>
      </c>
      <c r="B541">
        <v>119</v>
      </c>
      <c r="C541">
        <v>1806.4821601976801</v>
      </c>
      <c r="D541">
        <v>7009.4108816042899</v>
      </c>
      <c r="E541">
        <v>31</v>
      </c>
      <c r="F541">
        <v>31</v>
      </c>
      <c r="G541">
        <v>31.249280929565401</v>
      </c>
      <c r="H541">
        <v>75.695991516113196</v>
      </c>
      <c r="I541">
        <v>31.261985778808501</v>
      </c>
      <c r="J541">
        <v>75.706764221191406</v>
      </c>
      <c r="K541">
        <v>0.52753332067223702</v>
      </c>
      <c r="L541">
        <v>4.0059957112659399</v>
      </c>
      <c r="M541">
        <v>0.26151917602191299</v>
      </c>
      <c r="N541">
        <v>6881</v>
      </c>
      <c r="R541">
        <v>1678897</v>
      </c>
      <c r="T541">
        <v>4214642</v>
      </c>
    </row>
    <row r="542" spans="1:25" x14ac:dyDescent="0.3">
      <c r="A542" s="1">
        <v>45754</v>
      </c>
      <c r="B542">
        <v>169</v>
      </c>
      <c r="C542">
        <v>2010.4373407451101</v>
      </c>
      <c r="D542">
        <v>6308.6558884742299</v>
      </c>
      <c r="E542">
        <v>62</v>
      </c>
      <c r="F542">
        <v>62</v>
      </c>
      <c r="G542">
        <v>31.246332168579102</v>
      </c>
      <c r="H542">
        <v>75.700942993164006</v>
      </c>
      <c r="I542">
        <v>31.255876541137599</v>
      </c>
      <c r="J542">
        <v>75.710182189941406</v>
      </c>
      <c r="K542">
        <v>0.51236215040889099</v>
      </c>
      <c r="L542">
        <v>2.34155928940491</v>
      </c>
      <c r="M542">
        <v>4.6215510432451E-2</v>
      </c>
      <c r="N542">
        <v>9683</v>
      </c>
      <c r="R542">
        <v>2489692</v>
      </c>
      <c r="T542">
        <v>7254235</v>
      </c>
    </row>
    <row r="543" spans="1:25" x14ac:dyDescent="0.3">
      <c r="A543" s="1">
        <v>45755</v>
      </c>
      <c r="B543">
        <v>178</v>
      </c>
      <c r="C543">
        <v>1950.3250165618199</v>
      </c>
      <c r="D543">
        <v>7736.3971457056696</v>
      </c>
      <c r="E543">
        <v>43</v>
      </c>
      <c r="F543">
        <v>43</v>
      </c>
      <c r="G543">
        <v>31.246452331542901</v>
      </c>
      <c r="H543">
        <v>75.695442199707003</v>
      </c>
      <c r="I543">
        <v>31.260541915893501</v>
      </c>
      <c r="J543">
        <v>75.706787109375</v>
      </c>
      <c r="K543">
        <v>0.53268024150117899</v>
      </c>
      <c r="L543">
        <v>3.7139895530976799</v>
      </c>
      <c r="M543">
        <v>8.4462735418010707E-2</v>
      </c>
      <c r="N543">
        <v>11603</v>
      </c>
      <c r="R543">
        <v>1190500</v>
      </c>
      <c r="T543">
        <v>7492860</v>
      </c>
    </row>
    <row r="544" spans="1:25" x14ac:dyDescent="0.3">
      <c r="A544" s="1">
        <v>45756</v>
      </c>
      <c r="B544">
        <v>158</v>
      </c>
      <c r="C544">
        <v>2001.2374540046601</v>
      </c>
      <c r="D544">
        <v>9952.2278039698394</v>
      </c>
      <c r="E544">
        <v>74</v>
      </c>
      <c r="F544">
        <v>74</v>
      </c>
      <c r="G544">
        <v>31.249010086059499</v>
      </c>
      <c r="H544">
        <v>75.693206787109304</v>
      </c>
      <c r="I544">
        <v>31.261814117431602</v>
      </c>
      <c r="J544">
        <v>75.706779479980398</v>
      </c>
      <c r="K544">
        <v>0.494631913031505</v>
      </c>
      <c r="L544">
        <v>4.2306689769916703</v>
      </c>
      <c r="M544">
        <v>5.4254695890395502E-3</v>
      </c>
      <c r="N544">
        <v>9551</v>
      </c>
      <c r="R544">
        <v>2397732</v>
      </c>
      <c r="T544">
        <v>7176392</v>
      </c>
    </row>
    <row r="545" spans="1:20" x14ac:dyDescent="0.3">
      <c r="A545" s="1">
        <v>45757</v>
      </c>
      <c r="B545">
        <v>164</v>
      </c>
      <c r="C545">
        <v>1943.7404022712201</v>
      </c>
      <c r="D545">
        <v>8741.3947319751205</v>
      </c>
      <c r="E545">
        <v>39</v>
      </c>
      <c r="F545">
        <v>39</v>
      </c>
      <c r="G545">
        <v>31.249082565307599</v>
      </c>
      <c r="H545">
        <v>75.696685791015597</v>
      </c>
      <c r="I545">
        <v>31.261013031005799</v>
      </c>
      <c r="J545">
        <v>75.705825805664006</v>
      </c>
      <c r="K545">
        <v>0.52315862611928399</v>
      </c>
      <c r="L545">
        <v>4.5520833123218702</v>
      </c>
      <c r="M545">
        <v>7.0750636201099698E-2</v>
      </c>
      <c r="N545">
        <v>9087</v>
      </c>
      <c r="R545">
        <v>1655204</v>
      </c>
      <c r="T545">
        <v>6869460</v>
      </c>
    </row>
    <row r="546" spans="1:20" x14ac:dyDescent="0.3">
      <c r="A546" s="1">
        <v>45758</v>
      </c>
      <c r="B546">
        <v>94</v>
      </c>
      <c r="C546">
        <v>1791.3260897427599</v>
      </c>
      <c r="D546">
        <v>4184.0052920437302</v>
      </c>
      <c r="E546">
        <v>48</v>
      </c>
      <c r="F546">
        <v>48</v>
      </c>
      <c r="G546">
        <v>31.249111175537099</v>
      </c>
      <c r="H546">
        <v>75.696762084960895</v>
      </c>
      <c r="I546">
        <v>31.256343841552699</v>
      </c>
      <c r="J546">
        <v>75.705802917480398</v>
      </c>
      <c r="K546">
        <v>0.49648332739725798</v>
      </c>
      <c r="L546">
        <v>2.2378525810904799</v>
      </c>
      <c r="M546">
        <v>0.15334213483474801</v>
      </c>
      <c r="N546">
        <v>3721</v>
      </c>
      <c r="R546">
        <v>2820293</v>
      </c>
      <c r="T546">
        <v>2702945</v>
      </c>
    </row>
    <row r="547" spans="1:20" x14ac:dyDescent="0.3">
      <c r="A547" s="1">
        <v>45759</v>
      </c>
      <c r="B547">
        <v>33</v>
      </c>
      <c r="C547">
        <v>940.918780126005</v>
      </c>
      <c r="D547">
        <v>833.07943457767794</v>
      </c>
      <c r="E547">
        <v>23</v>
      </c>
      <c r="F547">
        <v>23</v>
      </c>
      <c r="K547">
        <v>0.35307904217846597</v>
      </c>
      <c r="L547">
        <v>1.3226961646153601</v>
      </c>
      <c r="M547">
        <v>0.245875748135442</v>
      </c>
      <c r="N547">
        <v>1310</v>
      </c>
      <c r="R547">
        <v>1127899</v>
      </c>
      <c r="T547">
        <v>684228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4"/>
  <sheetViews>
    <sheetView workbookViewId="0">
      <selection activeCell="D4" sqref="D4"/>
    </sheetView>
  </sheetViews>
  <sheetFormatPr defaultRowHeight="14.4" x14ac:dyDescent="0.3"/>
  <cols>
    <col min="1" max="1" width="16.6640625" bestFit="1" customWidth="1"/>
    <col min="2" max="2" width="25.44140625" customWidth="1"/>
    <col min="3" max="3" width="19.33203125" customWidth="1"/>
    <col min="4" max="4" width="21.44140625" customWidth="1"/>
    <col min="5" max="6" width="27.88671875" customWidth="1"/>
    <col min="7" max="12" width="28.109375" customWidth="1"/>
    <col min="13" max="87" width="7" customWidth="1"/>
    <col min="88" max="520" width="8" customWidth="1"/>
    <col min="521" max="530" width="9" bestFit="1" customWidth="1"/>
    <col min="531" max="531" width="7" customWidth="1"/>
    <col min="532" max="532" width="10.77734375" bestFit="1" customWidth="1"/>
  </cols>
  <sheetData>
    <row r="3" spans="1:4" x14ac:dyDescent="0.3">
      <c r="A3" t="s">
        <v>47</v>
      </c>
      <c r="B3" t="s">
        <v>50</v>
      </c>
      <c r="C3" t="s">
        <v>48</v>
      </c>
      <c r="D3" t="s">
        <v>49</v>
      </c>
    </row>
    <row r="4" spans="1:4" x14ac:dyDescent="0.3">
      <c r="A4" s="4">
        <v>3098522</v>
      </c>
      <c r="B4" s="4">
        <v>49918</v>
      </c>
      <c r="C4" s="4">
        <v>994692.61201127211</v>
      </c>
      <c r="D4" s="4">
        <v>3817.1182209496064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16"/>
  <sheetViews>
    <sheetView workbookViewId="0">
      <selection activeCell="B20" sqref="B20"/>
    </sheetView>
  </sheetViews>
  <sheetFormatPr defaultRowHeight="14.4" x14ac:dyDescent="0.3"/>
  <cols>
    <col min="1" max="1" width="12.5546875" bestFit="1" customWidth="1"/>
    <col min="2" max="2" width="27.109375" bestFit="1" customWidth="1"/>
    <col min="3" max="3" width="27.77734375" customWidth="1"/>
    <col min="4" max="4" width="25.109375" customWidth="1"/>
    <col min="5" max="5" width="25" customWidth="1"/>
    <col min="6" max="6" width="25.88671875" customWidth="1"/>
    <col min="7" max="8" width="27.88671875" customWidth="1"/>
    <col min="9" max="9" width="28.109375" customWidth="1"/>
    <col min="10" max="10" width="2" customWidth="1"/>
    <col min="11" max="94" width="3" customWidth="1"/>
    <col min="95" max="105" width="4" customWidth="1"/>
    <col min="106" max="106" width="7" customWidth="1"/>
    <col min="107" max="107" width="27.77734375" bestFit="1" customWidth="1"/>
    <col min="108" max="115" width="2" customWidth="1"/>
    <col min="116" max="199" width="3" customWidth="1"/>
    <col min="200" max="210" width="4" customWidth="1"/>
    <col min="211" max="211" width="7" customWidth="1"/>
    <col min="212" max="212" width="25.109375" bestFit="1" customWidth="1"/>
    <col min="213" max="220" width="2" customWidth="1"/>
    <col min="221" max="304" width="3" customWidth="1"/>
    <col min="305" max="315" width="4" customWidth="1"/>
    <col min="316" max="316" width="7" customWidth="1"/>
    <col min="317" max="317" width="25" bestFit="1" customWidth="1"/>
    <col min="318" max="325" width="2" customWidth="1"/>
    <col min="326" max="409" width="3" customWidth="1"/>
    <col min="410" max="420" width="4" customWidth="1"/>
    <col min="421" max="421" width="7" customWidth="1"/>
    <col min="422" max="422" width="25.88671875" bestFit="1" customWidth="1"/>
    <col min="423" max="430" width="2" customWidth="1"/>
    <col min="431" max="514" width="3" customWidth="1"/>
    <col min="515" max="525" width="4" customWidth="1"/>
    <col min="526" max="526" width="7" customWidth="1"/>
    <col min="527" max="527" width="27.88671875" bestFit="1" customWidth="1"/>
    <col min="528" max="535" width="2" customWidth="1"/>
    <col min="536" max="619" width="3" customWidth="1"/>
    <col min="620" max="630" width="4" customWidth="1"/>
    <col min="631" max="631" width="7" customWidth="1"/>
    <col min="632" max="632" width="27.88671875" bestFit="1" customWidth="1"/>
    <col min="633" max="640" width="2" customWidth="1"/>
    <col min="641" max="724" width="3" customWidth="1"/>
    <col min="725" max="735" width="4" customWidth="1"/>
    <col min="736" max="736" width="7" customWidth="1"/>
    <col min="737" max="737" width="28.109375" bestFit="1" customWidth="1"/>
    <col min="738" max="745" width="2" customWidth="1"/>
    <col min="746" max="829" width="3" customWidth="1"/>
    <col min="830" max="840" width="4" customWidth="1"/>
    <col min="841" max="841" width="7" customWidth="1"/>
    <col min="842" max="842" width="31.88671875" bestFit="1" customWidth="1"/>
    <col min="843" max="843" width="32.5546875" bestFit="1" customWidth="1"/>
    <col min="844" max="844" width="30" bestFit="1" customWidth="1"/>
    <col min="845" max="845" width="29.88671875" bestFit="1" customWidth="1"/>
    <col min="846" max="846" width="30.6640625" bestFit="1" customWidth="1"/>
    <col min="847" max="848" width="32.6640625" bestFit="1" customWidth="1"/>
    <col min="849" max="849" width="32.88671875" bestFit="1" customWidth="1"/>
  </cols>
  <sheetData>
    <row r="3" spans="1:9" x14ac:dyDescent="0.3">
      <c r="A3" s="2" t="s">
        <v>25</v>
      </c>
      <c r="B3" t="s">
        <v>39</v>
      </c>
      <c r="C3" t="s">
        <v>40</v>
      </c>
      <c r="D3" t="s">
        <v>45</v>
      </c>
      <c r="E3" t="s">
        <v>44</v>
      </c>
      <c r="F3" t="s">
        <v>46</v>
      </c>
      <c r="G3" t="s">
        <v>41</v>
      </c>
      <c r="H3" t="s">
        <v>43</v>
      </c>
      <c r="I3" t="s">
        <v>42</v>
      </c>
    </row>
    <row r="4" spans="1:9" x14ac:dyDescent="0.3">
      <c r="A4" s="3" t="s">
        <v>30</v>
      </c>
      <c r="B4" s="4">
        <v>31</v>
      </c>
      <c r="C4" s="4">
        <v>1</v>
      </c>
      <c r="D4" s="4"/>
      <c r="E4" s="4"/>
      <c r="F4" s="4"/>
      <c r="G4" s="4">
        <v>58</v>
      </c>
      <c r="H4" s="4"/>
      <c r="I4" s="4">
        <v>8</v>
      </c>
    </row>
    <row r="5" spans="1:9" x14ac:dyDescent="0.3">
      <c r="A5" s="3" t="s">
        <v>31</v>
      </c>
      <c r="B5" s="4">
        <v>47</v>
      </c>
      <c r="C5" s="4"/>
      <c r="D5" s="4"/>
      <c r="E5" s="4"/>
      <c r="F5" s="4"/>
      <c r="G5" s="4">
        <v>57</v>
      </c>
      <c r="H5" s="4"/>
      <c r="I5" s="4">
        <v>5</v>
      </c>
    </row>
    <row r="6" spans="1:9" x14ac:dyDescent="0.3">
      <c r="A6" s="3" t="s">
        <v>32</v>
      </c>
      <c r="B6" s="4">
        <v>36</v>
      </c>
      <c r="C6" s="4">
        <v>3</v>
      </c>
      <c r="D6" s="4">
        <v>1</v>
      </c>
      <c r="E6" s="4">
        <v>3</v>
      </c>
      <c r="F6" s="4">
        <v>15</v>
      </c>
      <c r="G6" s="4">
        <v>61</v>
      </c>
      <c r="H6" s="4">
        <v>1</v>
      </c>
      <c r="I6" s="4">
        <v>5</v>
      </c>
    </row>
    <row r="7" spans="1:9" x14ac:dyDescent="0.3">
      <c r="A7" s="3" t="s">
        <v>33</v>
      </c>
      <c r="B7" s="4">
        <v>35</v>
      </c>
      <c r="C7" s="4"/>
      <c r="D7" s="4"/>
      <c r="E7" s="4"/>
      <c r="F7" s="4">
        <v>2</v>
      </c>
      <c r="G7" s="4">
        <v>41</v>
      </c>
      <c r="H7" s="4"/>
      <c r="I7" s="4">
        <v>3</v>
      </c>
    </row>
    <row r="8" spans="1:9" x14ac:dyDescent="0.3">
      <c r="A8" s="3" t="s">
        <v>34</v>
      </c>
      <c r="B8" s="4">
        <v>16</v>
      </c>
      <c r="C8" s="4"/>
      <c r="D8" s="4"/>
      <c r="E8" s="4"/>
      <c r="F8" s="4"/>
      <c r="G8" s="4">
        <v>31</v>
      </c>
      <c r="H8" s="4"/>
      <c r="I8" s="4">
        <v>1</v>
      </c>
    </row>
    <row r="9" spans="1:9" x14ac:dyDescent="0.3">
      <c r="A9" s="3" t="s">
        <v>35</v>
      </c>
      <c r="B9" s="4">
        <v>12</v>
      </c>
      <c r="C9" s="4"/>
      <c r="D9" s="4"/>
      <c r="E9" s="4"/>
      <c r="F9" s="4"/>
      <c r="G9" s="4">
        <v>29</v>
      </c>
      <c r="H9" s="4"/>
      <c r="I9" s="4"/>
    </row>
    <row r="10" spans="1:9" x14ac:dyDescent="0.3">
      <c r="A10" s="3" t="s">
        <v>36</v>
      </c>
      <c r="B10" s="4">
        <v>3</v>
      </c>
      <c r="C10" s="4"/>
      <c r="D10" s="4"/>
      <c r="E10" s="4"/>
      <c r="F10" s="4"/>
      <c r="G10" s="4">
        <v>31</v>
      </c>
      <c r="H10" s="4"/>
      <c r="I10" s="4"/>
    </row>
    <row r="11" spans="1:9" x14ac:dyDescent="0.3">
      <c r="A11" s="3" t="s">
        <v>37</v>
      </c>
      <c r="B11" s="4">
        <v>23</v>
      </c>
      <c r="C11" s="4"/>
      <c r="D11" s="4"/>
      <c r="E11" s="4"/>
      <c r="F11" s="4"/>
      <c r="G11" s="4">
        <v>31</v>
      </c>
      <c r="H11" s="4"/>
      <c r="I11" s="4">
        <v>3</v>
      </c>
    </row>
    <row r="12" spans="1:9" x14ac:dyDescent="0.3">
      <c r="A12" s="3" t="s">
        <v>38</v>
      </c>
      <c r="B12" s="4">
        <v>26</v>
      </c>
      <c r="C12" s="4"/>
      <c r="D12" s="4"/>
      <c r="E12" s="4"/>
      <c r="F12" s="4"/>
      <c r="G12" s="4">
        <v>30</v>
      </c>
      <c r="H12" s="4"/>
      <c r="I12" s="4">
        <v>2</v>
      </c>
    </row>
    <row r="13" spans="1:9" x14ac:dyDescent="0.3">
      <c r="A13" s="3" t="s">
        <v>27</v>
      </c>
      <c r="B13" s="4">
        <v>31</v>
      </c>
      <c r="C13" s="4"/>
      <c r="D13" s="4"/>
      <c r="E13" s="4"/>
      <c r="F13" s="4"/>
      <c r="G13" s="4">
        <v>46</v>
      </c>
      <c r="H13" s="4"/>
      <c r="I13" s="4">
        <v>5</v>
      </c>
    </row>
    <row r="14" spans="1:9" x14ac:dyDescent="0.3">
      <c r="A14" s="3" t="s">
        <v>28</v>
      </c>
      <c r="B14" s="4">
        <v>39</v>
      </c>
      <c r="C14" s="4"/>
      <c r="D14" s="4"/>
      <c r="E14" s="4"/>
      <c r="F14" s="4"/>
      <c r="G14" s="4">
        <v>59</v>
      </c>
      <c r="H14" s="4"/>
      <c r="I14" s="4">
        <v>6</v>
      </c>
    </row>
    <row r="15" spans="1:9" x14ac:dyDescent="0.3">
      <c r="A15" s="3" t="s">
        <v>29</v>
      </c>
      <c r="B15" s="4">
        <v>31</v>
      </c>
      <c r="C15" s="4"/>
      <c r="D15" s="4"/>
      <c r="E15" s="4"/>
      <c r="F15" s="4"/>
      <c r="G15" s="4">
        <v>55</v>
      </c>
      <c r="H15" s="4"/>
      <c r="I15" s="4">
        <v>2</v>
      </c>
    </row>
    <row r="16" spans="1:9" x14ac:dyDescent="0.3">
      <c r="A16" s="3" t="s">
        <v>26</v>
      </c>
      <c r="B16" s="4">
        <v>330</v>
      </c>
      <c r="C16" s="4">
        <v>4</v>
      </c>
      <c r="D16" s="4">
        <v>1</v>
      </c>
      <c r="E16" s="4">
        <v>3</v>
      </c>
      <c r="F16" s="4">
        <v>17</v>
      </c>
      <c r="G16" s="4">
        <v>529</v>
      </c>
      <c r="H16" s="4">
        <v>1</v>
      </c>
      <c r="I16" s="4">
        <v>40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M15" sqref="M15"/>
    </sheetView>
  </sheetViews>
  <sheetFormatPr defaultRowHeight="14.4" x14ac:dyDescent="0.3"/>
  <cols>
    <col min="1" max="1" width="12.5546875" customWidth="1"/>
    <col min="2" max="2" width="16.6640625" customWidth="1"/>
  </cols>
  <sheetData>
    <row r="3" spans="1:2" x14ac:dyDescent="0.3">
      <c r="A3" s="2" t="s">
        <v>25</v>
      </c>
      <c r="B3" t="s">
        <v>47</v>
      </c>
    </row>
    <row r="4" spans="1:2" x14ac:dyDescent="0.3">
      <c r="A4" s="3" t="s">
        <v>30</v>
      </c>
      <c r="B4" s="4">
        <v>341303</v>
      </c>
    </row>
    <row r="5" spans="1:2" x14ac:dyDescent="0.3">
      <c r="A5" s="3" t="s">
        <v>31</v>
      </c>
      <c r="B5" s="4">
        <v>368451</v>
      </c>
    </row>
    <row r="6" spans="1:2" x14ac:dyDescent="0.3">
      <c r="A6" s="3" t="s">
        <v>32</v>
      </c>
      <c r="B6" s="4">
        <v>384662</v>
      </c>
    </row>
    <row r="7" spans="1:2" x14ac:dyDescent="0.3">
      <c r="A7" s="3" t="s">
        <v>33</v>
      </c>
      <c r="B7" s="4">
        <v>359714</v>
      </c>
    </row>
    <row r="8" spans="1:2" x14ac:dyDescent="0.3">
      <c r="A8" s="3" t="s">
        <v>34</v>
      </c>
      <c r="B8" s="4">
        <v>121057</v>
      </c>
    </row>
    <row r="9" spans="1:2" x14ac:dyDescent="0.3">
      <c r="A9" s="3" t="s">
        <v>35</v>
      </c>
      <c r="B9" s="4">
        <v>110105</v>
      </c>
    </row>
    <row r="10" spans="1:2" x14ac:dyDescent="0.3">
      <c r="A10" s="3" t="s">
        <v>36</v>
      </c>
      <c r="B10" s="4">
        <v>140135</v>
      </c>
    </row>
    <row r="11" spans="1:2" x14ac:dyDescent="0.3">
      <c r="A11" s="3" t="s">
        <v>37</v>
      </c>
      <c r="B11" s="4">
        <v>243850</v>
      </c>
    </row>
    <row r="12" spans="1:2" x14ac:dyDescent="0.3">
      <c r="A12" s="3" t="s">
        <v>38</v>
      </c>
      <c r="B12" s="4">
        <v>209464</v>
      </c>
    </row>
    <row r="13" spans="1:2" x14ac:dyDescent="0.3">
      <c r="A13" s="3" t="s">
        <v>27</v>
      </c>
      <c r="B13" s="4">
        <v>245454</v>
      </c>
    </row>
    <row r="14" spans="1:2" x14ac:dyDescent="0.3">
      <c r="A14" s="3" t="s">
        <v>28</v>
      </c>
      <c r="B14" s="4">
        <v>368896</v>
      </c>
    </row>
    <row r="15" spans="1:2" x14ac:dyDescent="0.3">
      <c r="A15" s="3" t="s">
        <v>29</v>
      </c>
      <c r="B15" s="4">
        <v>205431</v>
      </c>
    </row>
    <row r="16" spans="1:2" x14ac:dyDescent="0.3">
      <c r="A16" s="3" t="s">
        <v>26</v>
      </c>
      <c r="B16" s="4">
        <v>3098522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43"/>
  <sheetViews>
    <sheetView workbookViewId="0">
      <selection sqref="A1:Y43"/>
    </sheetView>
  </sheetViews>
  <sheetFormatPr defaultRowHeight="14.4" x14ac:dyDescent="0.3"/>
  <cols>
    <col min="2" max="2" width="20.44140625" customWidth="1"/>
    <col min="3" max="3" width="14.5546875" customWidth="1"/>
    <col min="4" max="4" width="13.44140625" customWidth="1"/>
    <col min="5" max="5" width="13.109375" customWidth="1"/>
    <col min="6" max="6" width="14.77734375" customWidth="1"/>
    <col min="7" max="7" width="18.109375" customWidth="1"/>
    <col min="8" max="8" width="19.6640625" customWidth="1"/>
    <col min="9" max="9" width="18.44140625" customWidth="1"/>
    <col min="10" max="10" width="20" customWidth="1"/>
    <col min="11" max="11" width="20.33203125" customWidth="1"/>
    <col min="12" max="12" width="17.109375" customWidth="1"/>
    <col min="13" max="13" width="16.77734375" customWidth="1"/>
    <col min="14" max="14" width="12" customWidth="1"/>
    <col min="15" max="15" width="19.6640625" customWidth="1"/>
    <col min="16" max="16" width="16.44140625" customWidth="1"/>
    <col min="17" max="17" width="16.109375" customWidth="1"/>
    <col min="18" max="18" width="20.77734375" customWidth="1"/>
    <col min="19" max="19" width="21.44140625" customWidth="1"/>
    <col min="20" max="20" width="21.5546875" customWidth="1"/>
    <col min="21" max="21" width="21.77734375" customWidth="1"/>
    <col min="22" max="22" width="21.5546875" customWidth="1"/>
    <col min="23" max="23" width="18.77734375" customWidth="1"/>
    <col min="24" max="24" width="18.88671875" customWidth="1"/>
    <col min="25" max="25" width="19.5546875"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s="1">
        <v>45759</v>
      </c>
      <c r="B2">
        <v>33</v>
      </c>
      <c r="C2">
        <v>940.918780126005</v>
      </c>
      <c r="D2">
        <v>833.07943457767794</v>
      </c>
      <c r="E2">
        <v>23</v>
      </c>
      <c r="F2">
        <v>23</v>
      </c>
      <c r="K2">
        <v>0.35307904217846597</v>
      </c>
      <c r="L2">
        <v>1.3226961646153601</v>
      </c>
      <c r="M2">
        <v>0.245875748135442</v>
      </c>
      <c r="N2">
        <v>1310</v>
      </c>
      <c r="R2">
        <v>1127899</v>
      </c>
      <c r="T2">
        <v>684228</v>
      </c>
    </row>
    <row r="3" spans="1:25" x14ac:dyDescent="0.3">
      <c r="A3" s="1">
        <v>45758</v>
      </c>
      <c r="B3">
        <v>94</v>
      </c>
      <c r="C3">
        <v>1791.3260897427599</v>
      </c>
      <c r="D3">
        <v>4184.0052920437302</v>
      </c>
      <c r="E3">
        <v>48</v>
      </c>
      <c r="F3">
        <v>48</v>
      </c>
      <c r="G3">
        <v>31.249111175537099</v>
      </c>
      <c r="H3">
        <v>75.696762084960895</v>
      </c>
      <c r="I3">
        <v>31.256343841552699</v>
      </c>
      <c r="J3">
        <v>75.705802917480398</v>
      </c>
      <c r="K3">
        <v>0.49648332739725798</v>
      </c>
      <c r="L3">
        <v>2.2378525810904799</v>
      </c>
      <c r="M3">
        <v>0.15334213483474801</v>
      </c>
      <c r="N3">
        <v>3721</v>
      </c>
      <c r="R3">
        <v>2820293</v>
      </c>
      <c r="T3">
        <v>2702945</v>
      </c>
    </row>
    <row r="4" spans="1:25" x14ac:dyDescent="0.3">
      <c r="A4" s="1">
        <v>45757</v>
      </c>
      <c r="B4">
        <v>164</v>
      </c>
      <c r="C4">
        <v>1943.7404022712201</v>
      </c>
      <c r="D4">
        <v>8741.3947319751205</v>
      </c>
      <c r="E4">
        <v>39</v>
      </c>
      <c r="F4">
        <v>39</v>
      </c>
      <c r="G4">
        <v>31.249082565307599</v>
      </c>
      <c r="H4">
        <v>75.696685791015597</v>
      </c>
      <c r="I4">
        <v>31.261013031005799</v>
      </c>
      <c r="J4">
        <v>75.705825805664006</v>
      </c>
      <c r="K4">
        <v>0.52315862611928399</v>
      </c>
      <c r="L4">
        <v>4.5520833123218702</v>
      </c>
      <c r="M4">
        <v>7.0750636201099698E-2</v>
      </c>
      <c r="N4">
        <v>9087</v>
      </c>
      <c r="R4">
        <v>1655204</v>
      </c>
      <c r="T4">
        <v>6869460</v>
      </c>
    </row>
    <row r="5" spans="1:25" x14ac:dyDescent="0.3">
      <c r="A5" s="1">
        <v>45756</v>
      </c>
      <c r="B5">
        <v>158</v>
      </c>
      <c r="C5">
        <v>2001.2374540046601</v>
      </c>
      <c r="D5">
        <v>9952.2278039698394</v>
      </c>
      <c r="E5">
        <v>74</v>
      </c>
      <c r="F5">
        <v>74</v>
      </c>
      <c r="G5">
        <v>31.249010086059499</v>
      </c>
      <c r="H5">
        <v>75.693206787109304</v>
      </c>
      <c r="I5">
        <v>31.261814117431602</v>
      </c>
      <c r="J5">
        <v>75.706779479980398</v>
      </c>
      <c r="K5">
        <v>0.494631913031505</v>
      </c>
      <c r="L5">
        <v>4.2306689769916703</v>
      </c>
      <c r="M5">
        <v>5.4254695890395502E-3</v>
      </c>
      <c r="N5">
        <v>9551</v>
      </c>
      <c r="R5">
        <v>2397732</v>
      </c>
      <c r="T5">
        <v>7176392</v>
      </c>
    </row>
    <row r="6" spans="1:25" x14ac:dyDescent="0.3">
      <c r="A6" s="1">
        <v>45755</v>
      </c>
      <c r="B6">
        <v>178</v>
      </c>
      <c r="C6">
        <v>1950.3250165618199</v>
      </c>
      <c r="D6">
        <v>7736.3971457056696</v>
      </c>
      <c r="E6">
        <v>43</v>
      </c>
      <c r="F6">
        <v>43</v>
      </c>
      <c r="G6">
        <v>31.246452331542901</v>
      </c>
      <c r="H6">
        <v>75.695442199707003</v>
      </c>
      <c r="I6">
        <v>31.260541915893501</v>
      </c>
      <c r="J6">
        <v>75.706787109375</v>
      </c>
      <c r="K6">
        <v>0.53268024150117899</v>
      </c>
      <c r="L6">
        <v>3.7139895530976799</v>
      </c>
      <c r="M6">
        <v>8.4462735418010707E-2</v>
      </c>
      <c r="N6">
        <v>11603</v>
      </c>
      <c r="R6">
        <v>1190500</v>
      </c>
      <c r="T6">
        <v>7492860</v>
      </c>
    </row>
    <row r="7" spans="1:25" x14ac:dyDescent="0.3">
      <c r="A7" s="1">
        <v>45754</v>
      </c>
      <c r="B7">
        <v>169</v>
      </c>
      <c r="C7">
        <v>2010.4373407451101</v>
      </c>
      <c r="D7">
        <v>6308.6558884742299</v>
      </c>
      <c r="E7">
        <v>62</v>
      </c>
      <c r="F7">
        <v>62</v>
      </c>
      <c r="G7">
        <v>31.246332168579102</v>
      </c>
      <c r="H7">
        <v>75.700942993164006</v>
      </c>
      <c r="I7">
        <v>31.255876541137599</v>
      </c>
      <c r="J7">
        <v>75.710182189941406</v>
      </c>
      <c r="K7">
        <v>0.51236215040889099</v>
      </c>
      <c r="L7">
        <v>2.34155928940491</v>
      </c>
      <c r="M7">
        <v>4.6215510432451E-2</v>
      </c>
      <c r="N7">
        <v>9683</v>
      </c>
      <c r="R7">
        <v>2489692</v>
      </c>
      <c r="T7">
        <v>7254235</v>
      </c>
    </row>
    <row r="8" spans="1:25" x14ac:dyDescent="0.3">
      <c r="A8" s="1">
        <v>45753</v>
      </c>
      <c r="B8">
        <v>119</v>
      </c>
      <c r="C8">
        <v>1806.4821601976801</v>
      </c>
      <c r="D8">
        <v>7009.4108816042899</v>
      </c>
      <c r="E8">
        <v>31</v>
      </c>
      <c r="F8">
        <v>31</v>
      </c>
      <c r="G8">
        <v>31.249280929565401</v>
      </c>
      <c r="H8">
        <v>75.695991516113196</v>
      </c>
      <c r="I8">
        <v>31.261985778808501</v>
      </c>
      <c r="J8">
        <v>75.706764221191406</v>
      </c>
      <c r="K8">
        <v>0.52753332067223702</v>
      </c>
      <c r="L8">
        <v>4.0059957112659399</v>
      </c>
      <c r="M8">
        <v>0.26151917602191299</v>
      </c>
      <c r="N8">
        <v>6881</v>
      </c>
      <c r="R8">
        <v>1678897</v>
      </c>
      <c r="T8">
        <v>4214642</v>
      </c>
    </row>
    <row r="9" spans="1:25" x14ac:dyDescent="0.3">
      <c r="A9" s="1">
        <v>45752</v>
      </c>
      <c r="B9">
        <v>104</v>
      </c>
      <c r="C9">
        <v>1953.3319558973001</v>
      </c>
      <c r="D9">
        <v>4991.1379501205402</v>
      </c>
      <c r="E9">
        <v>33</v>
      </c>
      <c r="F9">
        <v>33</v>
      </c>
      <c r="G9">
        <v>31.249038696288999</v>
      </c>
      <c r="H9">
        <v>75.697769165039006</v>
      </c>
      <c r="I9">
        <v>31.2591953277587</v>
      </c>
      <c r="J9">
        <v>75.7066650390625</v>
      </c>
      <c r="K9">
        <v>0.53894419999345</v>
      </c>
      <c r="L9">
        <v>3.6597649691689398</v>
      </c>
      <c r="M9">
        <v>0.26890384168232101</v>
      </c>
      <c r="N9">
        <v>5155</v>
      </c>
      <c r="R9">
        <v>1202233</v>
      </c>
      <c r="T9">
        <v>3406139</v>
      </c>
      <c r="Y9">
        <v>1280426</v>
      </c>
    </row>
    <row r="10" spans="1:25" x14ac:dyDescent="0.3">
      <c r="A10" s="1">
        <v>45751</v>
      </c>
      <c r="B10">
        <v>85</v>
      </c>
      <c r="C10">
        <v>1704.14093416798</v>
      </c>
      <c r="D10">
        <v>4535.6174946739102</v>
      </c>
      <c r="E10">
        <v>45</v>
      </c>
      <c r="F10">
        <v>45</v>
      </c>
      <c r="G10">
        <v>31.2490539550781</v>
      </c>
      <c r="H10">
        <v>75.697769165039006</v>
      </c>
      <c r="I10">
        <v>31.257938385009702</v>
      </c>
      <c r="J10">
        <v>75.705108642578097</v>
      </c>
      <c r="K10">
        <v>0.55216198582694598</v>
      </c>
      <c r="L10">
        <v>3.67823596796703</v>
      </c>
      <c r="M10">
        <v>3.6476154137914801E-2</v>
      </c>
      <c r="N10">
        <v>6092</v>
      </c>
      <c r="R10">
        <v>867152</v>
      </c>
      <c r="T10">
        <v>3122694</v>
      </c>
    </row>
    <row r="11" spans="1:25" x14ac:dyDescent="0.3">
      <c r="A11" s="1">
        <v>45750</v>
      </c>
      <c r="B11">
        <v>152</v>
      </c>
      <c r="C11">
        <v>1887.91990549709</v>
      </c>
      <c r="D11">
        <v>6992.0882775846103</v>
      </c>
      <c r="E11">
        <v>50</v>
      </c>
      <c r="F11">
        <v>50</v>
      </c>
      <c r="G11">
        <v>31.249996185302699</v>
      </c>
      <c r="H11">
        <v>75.697547912597599</v>
      </c>
      <c r="I11">
        <v>31.2613105773925</v>
      </c>
      <c r="J11">
        <v>75.706108093261705</v>
      </c>
      <c r="K11">
        <v>0.67987412924503898</v>
      </c>
      <c r="L11">
        <v>3.7492621324437501</v>
      </c>
      <c r="M11">
        <v>0.177762663382457</v>
      </c>
      <c r="N11">
        <v>8107</v>
      </c>
      <c r="R11">
        <v>2245614</v>
      </c>
      <c r="T11">
        <v>5168335</v>
      </c>
    </row>
    <row r="12" spans="1:25" x14ac:dyDescent="0.3">
      <c r="A12" s="1">
        <v>45749</v>
      </c>
      <c r="B12">
        <v>152</v>
      </c>
      <c r="C12">
        <v>1843.6701442764099</v>
      </c>
      <c r="D12">
        <v>5142.5851599787002</v>
      </c>
      <c r="E12">
        <v>43</v>
      </c>
      <c r="F12">
        <v>43</v>
      </c>
      <c r="G12">
        <v>31.248151779174801</v>
      </c>
      <c r="H12">
        <v>75.696647644042898</v>
      </c>
      <c r="I12">
        <v>31.252107620239201</v>
      </c>
      <c r="J12">
        <v>75.705070495605398</v>
      </c>
      <c r="K12">
        <v>0.48726985030464498</v>
      </c>
      <c r="L12">
        <v>2.3878494280426001</v>
      </c>
      <c r="M12">
        <v>0.15456175411919501</v>
      </c>
      <c r="N12">
        <v>8307</v>
      </c>
      <c r="R12">
        <v>2125195</v>
      </c>
      <c r="T12">
        <v>4449492</v>
      </c>
    </row>
    <row r="13" spans="1:25" x14ac:dyDescent="0.3">
      <c r="A13" s="1">
        <v>45748</v>
      </c>
      <c r="B13">
        <v>132</v>
      </c>
      <c r="C13">
        <v>2039.90728198939</v>
      </c>
      <c r="D13">
        <v>4874.5049397288003</v>
      </c>
      <c r="E13">
        <v>38</v>
      </c>
      <c r="F13">
        <v>38</v>
      </c>
      <c r="G13">
        <v>31.2491550445556</v>
      </c>
      <c r="H13">
        <v>75.697883605957003</v>
      </c>
      <c r="I13">
        <v>31.2594280242919</v>
      </c>
      <c r="J13">
        <v>75.706649780273395</v>
      </c>
      <c r="K13">
        <v>0.52039671031875601</v>
      </c>
      <c r="L13">
        <v>2.3497400081011399</v>
      </c>
      <c r="M13">
        <v>4.0621002029126801E-2</v>
      </c>
      <c r="N13">
        <v>5952</v>
      </c>
      <c r="R13">
        <v>1727737</v>
      </c>
      <c r="T13">
        <v>3769568</v>
      </c>
      <c r="Y13">
        <v>1717351</v>
      </c>
    </row>
    <row r="14" spans="1:25" x14ac:dyDescent="0.3">
      <c r="A14" s="1">
        <v>45412</v>
      </c>
      <c r="B14">
        <v>137</v>
      </c>
      <c r="C14">
        <v>1975.9758196606299</v>
      </c>
      <c r="D14">
        <v>5378.11148452416</v>
      </c>
      <c r="E14">
        <v>45</v>
      </c>
      <c r="F14">
        <v>45</v>
      </c>
      <c r="K14">
        <v>0.53899395865334698</v>
      </c>
      <c r="L14">
        <v>1.5119015668425699</v>
      </c>
      <c r="M14">
        <v>0.247535506215497</v>
      </c>
      <c r="N14">
        <v>8220</v>
      </c>
      <c r="R14">
        <v>1535533</v>
      </c>
      <c r="T14">
        <v>5713483</v>
      </c>
    </row>
    <row r="15" spans="1:25" x14ac:dyDescent="0.3">
      <c r="A15" s="1">
        <v>45411</v>
      </c>
      <c r="B15">
        <v>74</v>
      </c>
      <c r="C15">
        <v>1810.02498611435</v>
      </c>
      <c r="D15">
        <v>2864.7928249967599</v>
      </c>
      <c r="E15">
        <v>31</v>
      </c>
      <c r="F15">
        <v>31</v>
      </c>
      <c r="K15">
        <v>0.39594226336872201</v>
      </c>
      <c r="L15">
        <v>1.6355744831052399</v>
      </c>
      <c r="M15">
        <v>0.24347054557348299</v>
      </c>
      <c r="N15">
        <v>4329</v>
      </c>
      <c r="R15">
        <v>1208254</v>
      </c>
      <c r="T15">
        <v>3087784</v>
      </c>
    </row>
    <row r="16" spans="1:25" x14ac:dyDescent="0.3">
      <c r="A16" s="1">
        <v>45410</v>
      </c>
      <c r="B16">
        <v>118</v>
      </c>
      <c r="C16">
        <v>1948.91322133313</v>
      </c>
      <c r="D16">
        <v>3665.9483794623102</v>
      </c>
      <c r="E16">
        <v>60</v>
      </c>
      <c r="F16">
        <v>60</v>
      </c>
      <c r="K16">
        <v>0.53709561725170596</v>
      </c>
      <c r="L16">
        <v>1.60628149893613</v>
      </c>
      <c r="M16">
        <v>0.271860416072358</v>
      </c>
      <c r="N16">
        <v>5477</v>
      </c>
      <c r="R16">
        <v>2821105</v>
      </c>
      <c r="T16">
        <v>3852982</v>
      </c>
    </row>
    <row r="17" spans="1:21" x14ac:dyDescent="0.3">
      <c r="A17" s="1">
        <v>45409</v>
      </c>
      <c r="B17">
        <v>210</v>
      </c>
      <c r="C17">
        <v>2293.2523037511201</v>
      </c>
      <c r="D17">
        <v>8834.9063836639998</v>
      </c>
      <c r="E17">
        <v>94</v>
      </c>
      <c r="F17">
        <v>94</v>
      </c>
      <c r="K17">
        <v>0.663409260611595</v>
      </c>
      <c r="L17">
        <v>1.67768716984333</v>
      </c>
      <c r="M17">
        <v>0.28961364991487398</v>
      </c>
      <c r="N17">
        <v>13001</v>
      </c>
      <c r="R17">
        <v>2963351</v>
      </c>
      <c r="T17">
        <v>9470062</v>
      </c>
      <c r="U17">
        <v>177015</v>
      </c>
    </row>
    <row r="18" spans="1:21" x14ac:dyDescent="0.3">
      <c r="A18" s="1">
        <v>45408</v>
      </c>
      <c r="B18">
        <v>65</v>
      </c>
      <c r="C18">
        <v>1727.52643276866</v>
      </c>
      <c r="D18">
        <v>3825.5788220546501</v>
      </c>
      <c r="E18">
        <v>16</v>
      </c>
      <c r="F18">
        <v>16</v>
      </c>
      <c r="K18">
        <v>0.62863600993329105</v>
      </c>
      <c r="L18">
        <v>1.64326090860392</v>
      </c>
      <c r="M18">
        <v>0.26824432791060598</v>
      </c>
      <c r="N18">
        <v>5720</v>
      </c>
      <c r="T18">
        <v>2900946</v>
      </c>
    </row>
    <row r="19" spans="1:21" x14ac:dyDescent="0.3">
      <c r="A19" s="1">
        <v>45407</v>
      </c>
      <c r="B19">
        <v>95</v>
      </c>
      <c r="C19">
        <v>1850.5960893172401</v>
      </c>
      <c r="D19">
        <v>4428.0109623901799</v>
      </c>
      <c r="E19">
        <v>34</v>
      </c>
      <c r="F19">
        <v>34</v>
      </c>
      <c r="K19">
        <v>0.69147267645036703</v>
      </c>
      <c r="L19">
        <v>1.72188778802534</v>
      </c>
      <c r="M19">
        <v>0.25930887649888701</v>
      </c>
      <c r="N19">
        <v>6592</v>
      </c>
      <c r="R19">
        <v>765913</v>
      </c>
      <c r="T19">
        <v>4288486</v>
      </c>
    </row>
    <row r="20" spans="1:21" x14ac:dyDescent="0.3">
      <c r="A20" s="1">
        <v>45406</v>
      </c>
      <c r="B20">
        <v>87</v>
      </c>
      <c r="C20">
        <v>1798.0341412814701</v>
      </c>
      <c r="D20">
        <v>3687.7377873126302</v>
      </c>
      <c r="E20">
        <v>22</v>
      </c>
      <c r="F20">
        <v>22</v>
      </c>
      <c r="K20">
        <v>0.53052359386306502</v>
      </c>
      <c r="L20">
        <v>1.5069277073379601</v>
      </c>
      <c r="M20">
        <v>0.26007648201105998</v>
      </c>
      <c r="N20">
        <v>5579</v>
      </c>
      <c r="R20">
        <v>699051</v>
      </c>
      <c r="T20">
        <v>3417477</v>
      </c>
    </row>
    <row r="21" spans="1:21" x14ac:dyDescent="0.3">
      <c r="A21" s="1">
        <v>45405</v>
      </c>
      <c r="B21">
        <v>141</v>
      </c>
      <c r="C21">
        <v>2019.25591547318</v>
      </c>
      <c r="D21">
        <v>6277.8621878599897</v>
      </c>
      <c r="E21">
        <v>44</v>
      </c>
      <c r="F21">
        <v>44</v>
      </c>
      <c r="K21">
        <v>0.64562753059311795</v>
      </c>
      <c r="L21">
        <v>1.7496536734352</v>
      </c>
      <c r="M21">
        <v>0.245343717096866</v>
      </c>
      <c r="N21">
        <v>9635</v>
      </c>
      <c r="R21">
        <v>1276340</v>
      </c>
      <c r="T21">
        <v>6766845</v>
      </c>
    </row>
    <row r="22" spans="1:21" x14ac:dyDescent="0.3">
      <c r="A22" s="1">
        <v>45404</v>
      </c>
      <c r="B22">
        <v>97</v>
      </c>
      <c r="C22">
        <v>1904.6555375205</v>
      </c>
      <c r="D22">
        <v>5033.5589322153801</v>
      </c>
      <c r="E22">
        <v>44</v>
      </c>
      <c r="F22">
        <v>44</v>
      </c>
      <c r="K22">
        <v>0.624378189633362</v>
      </c>
      <c r="L22">
        <v>1.67586041537987</v>
      </c>
      <c r="M22">
        <v>0.26741072199884403</v>
      </c>
      <c r="N22">
        <v>7428</v>
      </c>
      <c r="R22">
        <v>813710</v>
      </c>
      <c r="T22">
        <v>5206742</v>
      </c>
    </row>
    <row r="23" spans="1:21" x14ac:dyDescent="0.3">
      <c r="A23" s="1">
        <v>45403</v>
      </c>
      <c r="B23">
        <v>2</v>
      </c>
      <c r="C23">
        <v>1565.75</v>
      </c>
      <c r="D23">
        <v>130.49299971473201</v>
      </c>
      <c r="K23">
        <v>0.315838981017172</v>
      </c>
      <c r="L23">
        <v>0.32623249242254099</v>
      </c>
      <c r="M23">
        <v>0.271860416072358</v>
      </c>
      <c r="N23">
        <v>282</v>
      </c>
    </row>
    <row r="24" spans="1:21" x14ac:dyDescent="0.3">
      <c r="A24" s="1">
        <v>45402</v>
      </c>
      <c r="B24">
        <v>29</v>
      </c>
      <c r="C24">
        <v>1657.6569353223199</v>
      </c>
      <c r="D24">
        <v>1309.7392689123601</v>
      </c>
      <c r="E24">
        <v>1</v>
      </c>
      <c r="F24">
        <v>1</v>
      </c>
      <c r="K24">
        <v>0.497212959256911</v>
      </c>
      <c r="L24">
        <v>1.51035011344736</v>
      </c>
      <c r="M24">
        <v>0.271860416072358</v>
      </c>
      <c r="N24">
        <v>2167</v>
      </c>
      <c r="T24">
        <v>1648060</v>
      </c>
    </row>
    <row r="25" spans="1:21" x14ac:dyDescent="0.3">
      <c r="A25" s="1">
        <v>45401</v>
      </c>
      <c r="B25">
        <v>36</v>
      </c>
      <c r="C25">
        <v>1655.0635681235899</v>
      </c>
      <c r="D25">
        <v>2070.74728979061</v>
      </c>
      <c r="E25">
        <v>16</v>
      </c>
      <c r="F25">
        <v>16</v>
      </c>
      <c r="K25">
        <v>0.34896216313702699</v>
      </c>
      <c r="L25">
        <v>1.4373408934060601</v>
      </c>
      <c r="M25">
        <v>0.26225746049381599</v>
      </c>
      <c r="N25">
        <v>3060</v>
      </c>
      <c r="T25">
        <v>1601554</v>
      </c>
    </row>
    <row r="26" spans="1:21" x14ac:dyDescent="0.3">
      <c r="A26" s="1">
        <v>45400</v>
      </c>
      <c r="B26">
        <v>357</v>
      </c>
      <c r="C26">
        <v>2411.8676630059399</v>
      </c>
      <c r="D26">
        <v>16674.695757477199</v>
      </c>
      <c r="E26">
        <v>69</v>
      </c>
      <c r="F26">
        <v>69</v>
      </c>
      <c r="K26">
        <v>0.65616854478086795</v>
      </c>
      <c r="L26">
        <v>1.7423823698268599</v>
      </c>
      <c r="M26">
        <v>0.25011158278656997</v>
      </c>
      <c r="N26">
        <v>24893</v>
      </c>
      <c r="R26">
        <v>537394</v>
      </c>
      <c r="T26">
        <v>14597563</v>
      </c>
    </row>
    <row r="27" spans="1:21" x14ac:dyDescent="0.3">
      <c r="A27" s="1">
        <v>45399</v>
      </c>
      <c r="B27">
        <v>317</v>
      </c>
      <c r="C27">
        <v>2474.3430017455298</v>
      </c>
      <c r="D27">
        <v>15011.596932539</v>
      </c>
      <c r="E27">
        <v>116</v>
      </c>
      <c r="F27">
        <v>113</v>
      </c>
      <c r="K27">
        <v>0.65635564302087002</v>
      </c>
      <c r="L27">
        <v>1.9072488743132301</v>
      </c>
      <c r="M27">
        <v>0.247287269395779</v>
      </c>
      <c r="N27">
        <v>22429</v>
      </c>
      <c r="R27">
        <v>2835632</v>
      </c>
      <c r="T27">
        <v>13068382</v>
      </c>
      <c r="U27">
        <v>83391</v>
      </c>
    </row>
    <row r="28" spans="1:21" x14ac:dyDescent="0.3">
      <c r="A28" s="1">
        <v>45398</v>
      </c>
      <c r="B28">
        <v>365</v>
      </c>
      <c r="C28">
        <v>2443.7294607139802</v>
      </c>
      <c r="D28">
        <v>16245.395246894201</v>
      </c>
      <c r="E28">
        <v>76</v>
      </c>
      <c r="F28">
        <v>75</v>
      </c>
      <c r="K28">
        <v>0.575144193429724</v>
      </c>
      <c r="L28">
        <v>1.76518949642601</v>
      </c>
      <c r="M28">
        <v>0.25011158278656997</v>
      </c>
      <c r="N28">
        <v>24575</v>
      </c>
      <c r="R28">
        <v>727094</v>
      </c>
      <c r="T28">
        <v>14965979</v>
      </c>
    </row>
    <row r="29" spans="1:21" x14ac:dyDescent="0.3">
      <c r="A29" s="1">
        <v>45397</v>
      </c>
      <c r="B29">
        <v>189</v>
      </c>
      <c r="C29">
        <v>1940.27091678484</v>
      </c>
      <c r="D29">
        <v>8136.7541955991201</v>
      </c>
      <c r="E29">
        <v>23</v>
      </c>
      <c r="F29">
        <v>23</v>
      </c>
      <c r="K29">
        <v>0.481784309845596</v>
      </c>
      <c r="L29">
        <v>1.8349707775834301</v>
      </c>
      <c r="M29">
        <v>0.25011158278656997</v>
      </c>
      <c r="N29">
        <v>12373</v>
      </c>
      <c r="T29">
        <v>6715845</v>
      </c>
    </row>
    <row r="30" spans="1:21" x14ac:dyDescent="0.3">
      <c r="A30" s="1">
        <v>45396</v>
      </c>
      <c r="B30">
        <v>191</v>
      </c>
      <c r="C30">
        <v>2040.9425625875299</v>
      </c>
      <c r="D30">
        <v>6829.9714782052297</v>
      </c>
      <c r="E30">
        <v>52</v>
      </c>
      <c r="F30">
        <v>51</v>
      </c>
      <c r="K30">
        <v>0.54782295519271496</v>
      </c>
      <c r="L30">
        <v>1.9649195744654799</v>
      </c>
      <c r="M30">
        <v>0.25011158278656997</v>
      </c>
      <c r="N30">
        <v>10446</v>
      </c>
      <c r="R30">
        <v>2191881</v>
      </c>
      <c r="T30">
        <v>6176340</v>
      </c>
    </row>
    <row r="31" spans="1:21" x14ac:dyDescent="0.3">
      <c r="A31" s="1">
        <v>45395</v>
      </c>
      <c r="B31">
        <v>182</v>
      </c>
      <c r="C31">
        <v>1844.10065600705</v>
      </c>
      <c r="D31">
        <v>6916.3262082812798</v>
      </c>
      <c r="E31">
        <v>39</v>
      </c>
      <c r="F31">
        <v>39</v>
      </c>
      <c r="K31">
        <v>0.45570301048442402</v>
      </c>
      <c r="L31">
        <v>1.5145058658783801</v>
      </c>
      <c r="M31">
        <v>0.25011158278656997</v>
      </c>
      <c r="N31">
        <v>10460</v>
      </c>
      <c r="R31">
        <v>1058574</v>
      </c>
      <c r="T31">
        <v>3858940</v>
      </c>
    </row>
    <row r="32" spans="1:21" x14ac:dyDescent="0.3">
      <c r="A32" s="1">
        <v>45394</v>
      </c>
      <c r="B32">
        <v>164</v>
      </c>
      <c r="C32">
        <v>1817.84051746154</v>
      </c>
      <c r="D32">
        <v>6844.3681986048095</v>
      </c>
      <c r="E32">
        <v>50</v>
      </c>
      <c r="F32">
        <v>50</v>
      </c>
      <c r="K32">
        <v>0.48674466760232399</v>
      </c>
      <c r="L32">
        <v>1.7230778069608299</v>
      </c>
      <c r="M32">
        <v>0.30448366600104099</v>
      </c>
      <c r="N32">
        <v>10254</v>
      </c>
      <c r="R32">
        <v>1098409</v>
      </c>
      <c r="T32">
        <v>3345437</v>
      </c>
    </row>
    <row r="33" spans="1:21" x14ac:dyDescent="0.3">
      <c r="A33" s="1">
        <v>45393</v>
      </c>
      <c r="B33">
        <v>112</v>
      </c>
      <c r="C33">
        <v>1730.26671297441</v>
      </c>
      <c r="D33">
        <v>5949.0666398819503</v>
      </c>
      <c r="E33">
        <v>36</v>
      </c>
      <c r="F33">
        <v>36</v>
      </c>
      <c r="K33">
        <v>0.66832681063363897</v>
      </c>
      <c r="L33">
        <v>1.5917025545377901</v>
      </c>
      <c r="M33">
        <v>0.26942355876926999</v>
      </c>
      <c r="N33">
        <v>8788</v>
      </c>
      <c r="T33">
        <v>2950084</v>
      </c>
    </row>
    <row r="34" spans="1:21" x14ac:dyDescent="0.3">
      <c r="A34" s="1">
        <v>45392</v>
      </c>
      <c r="B34">
        <v>142</v>
      </c>
      <c r="C34">
        <v>1950.7333828309399</v>
      </c>
      <c r="D34">
        <v>6447.5038072375601</v>
      </c>
      <c r="E34">
        <v>28</v>
      </c>
      <c r="F34">
        <v>28</v>
      </c>
      <c r="K34">
        <v>0.51585902563916597</v>
      </c>
      <c r="L34">
        <v>1.8371026098894101</v>
      </c>
      <c r="M34">
        <v>0.24885201843049301</v>
      </c>
      <c r="N34">
        <v>9634</v>
      </c>
      <c r="T34">
        <v>6903453</v>
      </c>
    </row>
    <row r="35" spans="1:21" x14ac:dyDescent="0.3">
      <c r="A35" s="1">
        <v>45391</v>
      </c>
      <c r="B35">
        <v>184</v>
      </c>
      <c r="C35">
        <v>2128.5361014831701</v>
      </c>
      <c r="D35">
        <v>9809.2024040259803</v>
      </c>
      <c r="E35">
        <v>78</v>
      </c>
      <c r="F35">
        <v>78</v>
      </c>
      <c r="K35">
        <v>0.65832720622737995</v>
      </c>
      <c r="L35">
        <v>2.0092536389824001</v>
      </c>
      <c r="M35">
        <v>0.25011158278656997</v>
      </c>
      <c r="N35">
        <v>14103</v>
      </c>
      <c r="R35">
        <v>975911</v>
      </c>
      <c r="T35">
        <v>9047814</v>
      </c>
    </row>
    <row r="36" spans="1:21" x14ac:dyDescent="0.3">
      <c r="A36" s="1">
        <v>45390</v>
      </c>
      <c r="B36">
        <v>97</v>
      </c>
      <c r="C36">
        <v>1836.4245200937801</v>
      </c>
      <c r="D36">
        <v>4513.3642328568603</v>
      </c>
      <c r="E36">
        <v>39</v>
      </c>
      <c r="F36">
        <v>39</v>
      </c>
      <c r="K36">
        <v>0.44446678997703098</v>
      </c>
      <c r="L36">
        <v>1.55944042341571</v>
      </c>
      <c r="M36">
        <v>0.25011158278656997</v>
      </c>
      <c r="N36">
        <v>6834</v>
      </c>
      <c r="R36">
        <v>998897</v>
      </c>
      <c r="T36">
        <v>3784936</v>
      </c>
    </row>
    <row r="37" spans="1:21" x14ac:dyDescent="0.3">
      <c r="A37" s="1">
        <v>45389</v>
      </c>
      <c r="B37">
        <v>90</v>
      </c>
      <c r="C37">
        <v>1799.88642160218</v>
      </c>
      <c r="D37">
        <v>3549.09755266402</v>
      </c>
      <c r="E37">
        <v>29</v>
      </c>
      <c r="F37">
        <v>29</v>
      </c>
      <c r="K37">
        <v>0.52494850896075296</v>
      </c>
      <c r="L37">
        <v>1.60652276665958</v>
      </c>
      <c r="M37">
        <v>0.25011158278656997</v>
      </c>
      <c r="N37">
        <v>5713</v>
      </c>
      <c r="R37">
        <v>1189845</v>
      </c>
      <c r="T37">
        <v>2925674</v>
      </c>
    </row>
    <row r="38" spans="1:21" x14ac:dyDescent="0.3">
      <c r="A38" s="1">
        <v>45388</v>
      </c>
      <c r="B38">
        <v>113</v>
      </c>
      <c r="C38">
        <v>1975.46533615044</v>
      </c>
      <c r="D38">
        <v>4396.5424257284503</v>
      </c>
      <c r="E38">
        <v>58</v>
      </c>
      <c r="F38">
        <v>58</v>
      </c>
      <c r="K38">
        <v>0.71983134870399701</v>
      </c>
      <c r="L38">
        <v>1.55200871195373</v>
      </c>
      <c r="M38">
        <v>0.25011158278656997</v>
      </c>
      <c r="N38">
        <v>6581</v>
      </c>
      <c r="R38">
        <v>2106133</v>
      </c>
      <c r="T38">
        <v>5093939</v>
      </c>
    </row>
    <row r="39" spans="1:21" x14ac:dyDescent="0.3">
      <c r="A39" s="1">
        <v>45387</v>
      </c>
      <c r="B39">
        <v>140</v>
      </c>
      <c r="C39">
        <v>2019.3594531026899</v>
      </c>
      <c r="D39">
        <v>7197.1960725742902</v>
      </c>
      <c r="E39">
        <v>79</v>
      </c>
      <c r="F39">
        <v>79</v>
      </c>
      <c r="K39">
        <v>0.83141630063048999</v>
      </c>
      <c r="L39">
        <v>2.2357109077817698</v>
      </c>
      <c r="M39">
        <v>0.260047105367822</v>
      </c>
      <c r="N39">
        <v>10444</v>
      </c>
      <c r="R39">
        <v>1794776</v>
      </c>
      <c r="T39">
        <v>6214111</v>
      </c>
    </row>
    <row r="40" spans="1:21" x14ac:dyDescent="0.3">
      <c r="A40" s="1">
        <v>45386</v>
      </c>
      <c r="B40">
        <v>88</v>
      </c>
      <c r="C40">
        <v>1832.37786353008</v>
      </c>
      <c r="D40">
        <v>2709.4588354543198</v>
      </c>
      <c r="E40">
        <v>41</v>
      </c>
      <c r="F40">
        <v>41</v>
      </c>
      <c r="K40">
        <v>0.75913871840907199</v>
      </c>
      <c r="L40">
        <v>1.7193794199366601</v>
      </c>
      <c r="M40">
        <v>0.25011158278656997</v>
      </c>
      <c r="N40">
        <v>4065</v>
      </c>
      <c r="R40">
        <v>2205006</v>
      </c>
      <c r="T40">
        <v>2419700</v>
      </c>
    </row>
    <row r="41" spans="1:21" x14ac:dyDescent="0.3">
      <c r="A41" s="1">
        <v>45385</v>
      </c>
      <c r="B41">
        <v>100</v>
      </c>
      <c r="C41">
        <v>1947.78442956653</v>
      </c>
      <c r="D41">
        <v>4259.5833151839797</v>
      </c>
      <c r="E41">
        <v>49</v>
      </c>
      <c r="F41">
        <v>49</v>
      </c>
      <c r="K41">
        <v>0.72238850809571797</v>
      </c>
      <c r="L41">
        <v>1.6355298289058799</v>
      </c>
      <c r="M41">
        <v>0.25011158278656997</v>
      </c>
      <c r="N41">
        <v>6294</v>
      </c>
      <c r="R41">
        <v>1667426</v>
      </c>
      <c r="T41">
        <v>5066869</v>
      </c>
    </row>
    <row r="42" spans="1:21" x14ac:dyDescent="0.3">
      <c r="A42" s="1">
        <v>45384</v>
      </c>
      <c r="B42">
        <v>98</v>
      </c>
      <c r="C42">
        <v>1953.53509749058</v>
      </c>
      <c r="D42">
        <v>3766.55132551212</v>
      </c>
      <c r="E42">
        <v>35</v>
      </c>
      <c r="F42">
        <v>35</v>
      </c>
      <c r="K42">
        <v>0.48085508559906198</v>
      </c>
      <c r="L42">
        <v>1.5195432577674499</v>
      </c>
      <c r="M42">
        <v>0.271860416072358</v>
      </c>
      <c r="N42">
        <v>5958</v>
      </c>
      <c r="R42">
        <v>1429863</v>
      </c>
      <c r="T42">
        <v>5424118</v>
      </c>
    </row>
    <row r="43" spans="1:21" x14ac:dyDescent="0.3">
      <c r="A43" s="1">
        <v>45383</v>
      </c>
      <c r="B43">
        <v>163</v>
      </c>
      <c r="C43">
        <v>2035.1266850065299</v>
      </c>
      <c r="D43">
        <v>5892.18855232643</v>
      </c>
      <c r="E43">
        <v>67</v>
      </c>
      <c r="F43">
        <v>67</v>
      </c>
      <c r="K43">
        <v>0.54556009669096905</v>
      </c>
      <c r="L43">
        <v>1.76059628710148</v>
      </c>
      <c r="M43">
        <v>0.25011158278656997</v>
      </c>
      <c r="N43">
        <v>8931</v>
      </c>
      <c r="R43">
        <v>2734121</v>
      </c>
      <c r="T43">
        <v>5251945</v>
      </c>
      <c r="U43">
        <v>101582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6"/>
  <sheetViews>
    <sheetView workbookViewId="0">
      <selection activeCell="H27" sqref="H27"/>
    </sheetView>
  </sheetViews>
  <sheetFormatPr defaultRowHeight="14.4" x14ac:dyDescent="0.3"/>
  <cols>
    <col min="1" max="1" width="10.77734375" customWidth="1"/>
    <col min="2" max="2" width="25.109375" bestFit="1" customWidth="1"/>
    <col min="3" max="3" width="24.77734375" bestFit="1" customWidth="1"/>
    <col min="4" max="4" width="26.6640625" customWidth="1"/>
    <col min="5" max="5" width="11" bestFit="1" customWidth="1"/>
    <col min="6" max="8" width="12" bestFit="1" customWidth="1"/>
    <col min="9" max="9" width="11" bestFit="1" customWidth="1"/>
    <col min="10" max="20" width="12" bestFit="1" customWidth="1"/>
    <col min="21" max="21" width="10" bestFit="1" customWidth="1"/>
    <col min="22" max="26" width="12" bestFit="1" customWidth="1"/>
    <col min="27" max="27" width="11" bestFit="1" customWidth="1"/>
    <col min="28" max="41" width="12" bestFit="1" customWidth="1"/>
    <col min="42" max="42" width="11" bestFit="1" customWidth="1"/>
    <col min="43" max="50" width="12" bestFit="1" customWidth="1"/>
    <col min="51" max="51" width="11" bestFit="1" customWidth="1"/>
    <col min="52" max="52" width="12" bestFit="1" customWidth="1"/>
    <col min="53" max="53" width="11" bestFit="1" customWidth="1"/>
    <col min="54" max="66" width="12" bestFit="1" customWidth="1"/>
    <col min="67" max="67" width="11" bestFit="1" customWidth="1"/>
    <col min="68" max="77" width="12" bestFit="1" customWidth="1"/>
    <col min="78" max="78" width="10" bestFit="1" customWidth="1"/>
    <col min="79" max="83" width="12" bestFit="1" customWidth="1"/>
    <col min="84" max="84" width="10" bestFit="1" customWidth="1"/>
    <col min="85" max="112" width="12" bestFit="1" customWidth="1"/>
    <col min="113" max="114" width="11" bestFit="1" customWidth="1"/>
    <col min="115" max="124" width="12" bestFit="1" customWidth="1"/>
    <col min="125" max="126" width="11" bestFit="1" customWidth="1"/>
    <col min="127" max="130" width="12" bestFit="1" customWidth="1"/>
    <col min="131" max="131" width="11" bestFit="1" customWidth="1"/>
    <col min="132" max="134" width="12" bestFit="1" customWidth="1"/>
    <col min="135" max="137" width="11" bestFit="1" customWidth="1"/>
    <col min="138" max="139" width="12" bestFit="1" customWidth="1"/>
    <col min="140" max="140" width="11" bestFit="1" customWidth="1"/>
    <col min="141" max="163" width="12" bestFit="1" customWidth="1"/>
    <col min="164" max="164" width="11" bestFit="1" customWidth="1"/>
    <col min="165" max="174" width="12" bestFit="1" customWidth="1"/>
    <col min="175" max="175" width="11" bestFit="1" customWidth="1"/>
    <col min="176" max="180" width="12" bestFit="1" customWidth="1"/>
    <col min="181" max="181" width="11" bestFit="1" customWidth="1"/>
    <col min="182" max="195" width="12" bestFit="1" customWidth="1"/>
    <col min="196" max="196" width="11" bestFit="1" customWidth="1"/>
    <col min="197" max="201" width="12" bestFit="1" customWidth="1"/>
    <col min="202" max="202" width="11" bestFit="1" customWidth="1"/>
    <col min="203" max="207" width="12" bestFit="1" customWidth="1"/>
    <col min="208" max="208" width="11" bestFit="1" customWidth="1"/>
    <col min="209" max="209" width="12" bestFit="1" customWidth="1"/>
    <col min="210" max="210" width="11" bestFit="1" customWidth="1"/>
    <col min="211" max="211" width="12" bestFit="1" customWidth="1"/>
    <col min="212" max="212" width="11" bestFit="1" customWidth="1"/>
    <col min="213" max="228" width="12" bestFit="1" customWidth="1"/>
    <col min="229" max="229" width="11" bestFit="1" customWidth="1"/>
    <col min="230" max="242" width="12" bestFit="1" customWidth="1"/>
    <col min="243" max="243" width="11" bestFit="1" customWidth="1"/>
    <col min="244" max="257" width="12" bestFit="1" customWidth="1"/>
    <col min="258" max="258" width="11" bestFit="1" customWidth="1"/>
    <col min="259" max="264" width="12" bestFit="1" customWidth="1"/>
    <col min="265" max="265" width="11" bestFit="1" customWidth="1"/>
    <col min="266" max="272" width="12" bestFit="1" customWidth="1"/>
    <col min="273" max="273" width="11" bestFit="1" customWidth="1"/>
    <col min="274" max="275" width="12" bestFit="1" customWidth="1"/>
    <col min="276" max="276" width="11" bestFit="1" customWidth="1"/>
    <col min="277" max="286" width="12" bestFit="1" customWidth="1"/>
    <col min="287" max="287" width="11" bestFit="1" customWidth="1"/>
    <col min="288" max="296" width="12" bestFit="1" customWidth="1"/>
    <col min="297" max="297" width="11" bestFit="1" customWidth="1"/>
    <col min="298" max="301" width="12" bestFit="1" customWidth="1"/>
    <col min="302" max="302" width="11" bestFit="1" customWidth="1"/>
    <col min="303" max="314" width="12" bestFit="1" customWidth="1"/>
    <col min="315" max="315" width="10" bestFit="1" customWidth="1"/>
    <col min="316" max="343" width="12" bestFit="1" customWidth="1"/>
    <col min="344" max="344" width="11" bestFit="1" customWidth="1"/>
    <col min="345" max="356" width="12" bestFit="1" customWidth="1"/>
    <col min="357" max="357" width="11" bestFit="1" customWidth="1"/>
    <col min="358" max="393" width="12" bestFit="1" customWidth="1"/>
    <col min="394" max="394" width="10" bestFit="1" customWidth="1"/>
    <col min="395" max="436" width="12" bestFit="1" customWidth="1"/>
    <col min="437" max="439" width="11" bestFit="1" customWidth="1"/>
    <col min="440" max="440" width="12" bestFit="1" customWidth="1"/>
    <col min="441" max="441" width="11" bestFit="1" customWidth="1"/>
    <col min="442" max="443" width="12" bestFit="1" customWidth="1"/>
    <col min="444" max="444" width="11" bestFit="1" customWidth="1"/>
    <col min="445" max="457" width="12" bestFit="1" customWidth="1"/>
    <col min="458" max="458" width="11" bestFit="1" customWidth="1"/>
    <col min="459" max="461" width="12" bestFit="1" customWidth="1"/>
    <col min="462" max="462" width="11" bestFit="1" customWidth="1"/>
    <col min="463" max="466" width="12" bestFit="1" customWidth="1"/>
    <col min="467" max="467" width="11" bestFit="1" customWidth="1"/>
    <col min="468" max="469" width="12" bestFit="1" customWidth="1"/>
    <col min="470" max="470" width="11" bestFit="1" customWidth="1"/>
    <col min="471" max="484" width="12" bestFit="1" customWidth="1"/>
    <col min="485" max="485" width="11" bestFit="1" customWidth="1"/>
    <col min="486" max="494" width="12" bestFit="1" customWidth="1"/>
    <col min="495" max="495" width="11" bestFit="1" customWidth="1"/>
    <col min="496" max="497" width="12" bestFit="1" customWidth="1"/>
    <col min="498" max="498" width="9" bestFit="1" customWidth="1"/>
    <col min="499" max="510" width="12" bestFit="1" customWidth="1"/>
    <col min="511" max="511" width="11" bestFit="1" customWidth="1"/>
    <col min="512" max="520" width="12" bestFit="1" customWidth="1"/>
    <col min="521" max="521" width="11" bestFit="1" customWidth="1"/>
    <col min="522" max="537" width="12" bestFit="1" customWidth="1"/>
    <col min="538" max="538" width="11" bestFit="1" customWidth="1"/>
    <col min="539" max="543" width="12" bestFit="1" customWidth="1"/>
    <col min="544" max="545" width="11" bestFit="1" customWidth="1"/>
    <col min="546" max="546" width="7" customWidth="1"/>
    <col min="547" max="547" width="23" bestFit="1" customWidth="1"/>
    <col min="548" max="549" width="12" bestFit="1" customWidth="1"/>
    <col min="550" max="550" width="11" bestFit="1" customWidth="1"/>
    <col min="551" max="553" width="12" bestFit="1" customWidth="1"/>
    <col min="554" max="554" width="11" bestFit="1" customWidth="1"/>
    <col min="555" max="565" width="12" bestFit="1" customWidth="1"/>
    <col min="566" max="566" width="10" bestFit="1" customWidth="1"/>
    <col min="567" max="571" width="12" bestFit="1" customWidth="1"/>
    <col min="572" max="572" width="11" bestFit="1" customWidth="1"/>
    <col min="573" max="586" width="12" bestFit="1" customWidth="1"/>
    <col min="587" max="587" width="11" bestFit="1" customWidth="1"/>
    <col min="588" max="595" width="12" bestFit="1" customWidth="1"/>
    <col min="596" max="596" width="11" bestFit="1" customWidth="1"/>
    <col min="597" max="597" width="12" bestFit="1" customWidth="1"/>
    <col min="598" max="598" width="11" bestFit="1" customWidth="1"/>
    <col min="599" max="611" width="12" bestFit="1" customWidth="1"/>
    <col min="612" max="612" width="11" bestFit="1" customWidth="1"/>
    <col min="613" max="622" width="12" bestFit="1" customWidth="1"/>
    <col min="623" max="623" width="10" bestFit="1" customWidth="1"/>
    <col min="624" max="628" width="12" bestFit="1" customWidth="1"/>
    <col min="629" max="629" width="10" bestFit="1" customWidth="1"/>
    <col min="630" max="657" width="12" bestFit="1" customWidth="1"/>
    <col min="658" max="659" width="11" bestFit="1" customWidth="1"/>
    <col min="660" max="669" width="12" bestFit="1" customWidth="1"/>
    <col min="670" max="671" width="11" bestFit="1" customWidth="1"/>
    <col min="672" max="675" width="12" bestFit="1" customWidth="1"/>
    <col min="676" max="676" width="11" bestFit="1" customWidth="1"/>
    <col min="677" max="679" width="12" bestFit="1" customWidth="1"/>
    <col min="680" max="682" width="11" bestFit="1" customWidth="1"/>
    <col min="683" max="684" width="12" bestFit="1" customWidth="1"/>
    <col min="685" max="685" width="11" bestFit="1" customWidth="1"/>
    <col min="686" max="708" width="12" bestFit="1" customWidth="1"/>
    <col min="709" max="709" width="11" bestFit="1" customWidth="1"/>
    <col min="710" max="719" width="12" bestFit="1" customWidth="1"/>
    <col min="720" max="720" width="11" bestFit="1" customWidth="1"/>
    <col min="721" max="725" width="12" bestFit="1" customWidth="1"/>
    <col min="726" max="726" width="11" bestFit="1" customWidth="1"/>
    <col min="727" max="740" width="12" bestFit="1" customWidth="1"/>
    <col min="741" max="741" width="11" bestFit="1" customWidth="1"/>
    <col min="742" max="746" width="12" bestFit="1" customWidth="1"/>
    <col min="747" max="747" width="11" bestFit="1" customWidth="1"/>
    <col min="748" max="752" width="12" bestFit="1" customWidth="1"/>
    <col min="753" max="753" width="11" bestFit="1" customWidth="1"/>
    <col min="754" max="754" width="12" bestFit="1" customWidth="1"/>
    <col min="755" max="755" width="11" bestFit="1" customWidth="1"/>
    <col min="756" max="756" width="12" bestFit="1" customWidth="1"/>
    <col min="757" max="757" width="11" bestFit="1" customWidth="1"/>
    <col min="758" max="773" width="12" bestFit="1" customWidth="1"/>
    <col min="774" max="774" width="11" bestFit="1" customWidth="1"/>
    <col min="775" max="787" width="12" bestFit="1" customWidth="1"/>
    <col min="788" max="788" width="11" bestFit="1" customWidth="1"/>
    <col min="789" max="802" width="12" bestFit="1" customWidth="1"/>
    <col min="803" max="803" width="11" bestFit="1" customWidth="1"/>
    <col min="804" max="809" width="12" bestFit="1" customWidth="1"/>
    <col min="810" max="810" width="11" bestFit="1" customWidth="1"/>
    <col min="811" max="817" width="12" bestFit="1" customWidth="1"/>
    <col min="818" max="818" width="11" bestFit="1" customWidth="1"/>
    <col min="819" max="820" width="12" bestFit="1" customWidth="1"/>
    <col min="821" max="821" width="11" bestFit="1" customWidth="1"/>
    <col min="822" max="831" width="12" bestFit="1" customWidth="1"/>
    <col min="832" max="832" width="11" bestFit="1" customWidth="1"/>
    <col min="833" max="841" width="12" bestFit="1" customWidth="1"/>
    <col min="842" max="842" width="11" bestFit="1" customWidth="1"/>
    <col min="843" max="846" width="12" bestFit="1" customWidth="1"/>
    <col min="847" max="847" width="11" bestFit="1" customWidth="1"/>
    <col min="848" max="859" width="12" bestFit="1" customWidth="1"/>
    <col min="860" max="860" width="10" bestFit="1" customWidth="1"/>
    <col min="861" max="888" width="12" bestFit="1" customWidth="1"/>
    <col min="889" max="889" width="11" bestFit="1" customWidth="1"/>
    <col min="890" max="901" width="12" bestFit="1" customWidth="1"/>
    <col min="902" max="902" width="11" bestFit="1" customWidth="1"/>
    <col min="903" max="938" width="12" bestFit="1" customWidth="1"/>
    <col min="939" max="939" width="10" bestFit="1" customWidth="1"/>
    <col min="940" max="981" width="12" bestFit="1" customWidth="1"/>
    <col min="982" max="984" width="11" bestFit="1" customWidth="1"/>
    <col min="985" max="985" width="12" bestFit="1" customWidth="1"/>
    <col min="986" max="986" width="11" bestFit="1" customWidth="1"/>
    <col min="987" max="988" width="12" bestFit="1" customWidth="1"/>
    <col min="989" max="989" width="11" bestFit="1" customWidth="1"/>
    <col min="990" max="1002" width="12" bestFit="1" customWidth="1"/>
    <col min="1003" max="1003" width="11" bestFit="1" customWidth="1"/>
    <col min="1004" max="1006" width="12" bestFit="1" customWidth="1"/>
    <col min="1007" max="1007" width="11" bestFit="1" customWidth="1"/>
    <col min="1008" max="1011" width="12" bestFit="1" customWidth="1"/>
    <col min="1012" max="1012" width="11" bestFit="1" customWidth="1"/>
    <col min="1013" max="1014" width="12" bestFit="1" customWidth="1"/>
    <col min="1015" max="1015" width="11" bestFit="1" customWidth="1"/>
    <col min="1016" max="1029" width="12" bestFit="1" customWidth="1"/>
    <col min="1030" max="1030" width="11" bestFit="1" customWidth="1"/>
    <col min="1031" max="1039" width="12" bestFit="1" customWidth="1"/>
    <col min="1040" max="1040" width="11" bestFit="1" customWidth="1"/>
    <col min="1041" max="1042" width="12" bestFit="1" customWidth="1"/>
    <col min="1043" max="1043" width="9" bestFit="1" customWidth="1"/>
    <col min="1044" max="1055" width="12" bestFit="1" customWidth="1"/>
    <col min="1056" max="1056" width="11" bestFit="1" customWidth="1"/>
    <col min="1057" max="1065" width="12" bestFit="1" customWidth="1"/>
    <col min="1066" max="1066" width="11" bestFit="1" customWidth="1"/>
    <col min="1067" max="1082" width="12" bestFit="1" customWidth="1"/>
    <col min="1083" max="1083" width="11" bestFit="1" customWidth="1"/>
    <col min="1084" max="1088" width="12" bestFit="1" customWidth="1"/>
    <col min="1089" max="1090" width="11" bestFit="1" customWidth="1"/>
    <col min="1091" max="1091" width="7" customWidth="1"/>
    <col min="1092" max="1092" width="28.109375" bestFit="1" customWidth="1"/>
    <col min="1093" max="1093" width="27.77734375" bestFit="1" customWidth="1"/>
  </cols>
  <sheetData>
    <row r="3" spans="1:3" x14ac:dyDescent="0.3">
      <c r="A3" s="2" t="s">
        <v>51</v>
      </c>
      <c r="B3" t="s">
        <v>66</v>
      </c>
      <c r="C3" t="s">
        <v>65</v>
      </c>
    </row>
    <row r="4" spans="1:3" x14ac:dyDescent="0.3">
      <c r="A4" s="3" t="s">
        <v>30</v>
      </c>
      <c r="B4" s="4">
        <v>1.5686314169450697</v>
      </c>
      <c r="C4" s="4">
        <v>0.25879578399694675</v>
      </c>
    </row>
    <row r="5" spans="1:3" x14ac:dyDescent="0.3">
      <c r="A5" s="3" t="s">
        <v>31</v>
      </c>
      <c r="B5" s="4">
        <v>1.6411147464320568</v>
      </c>
      <c r="C5" s="4">
        <v>0.25597075296159699</v>
      </c>
    </row>
    <row r="6" spans="1:3" x14ac:dyDescent="0.3">
      <c r="A6" s="3" t="s">
        <v>32</v>
      </c>
      <c r="B6" s="4">
        <v>2.1445471438054189</v>
      </c>
      <c r="C6" s="4">
        <v>0.22410385522495538</v>
      </c>
    </row>
    <row r="7" spans="1:3" x14ac:dyDescent="0.3">
      <c r="A7" s="3" t="s">
        <v>33</v>
      </c>
      <c r="B7" s="4">
        <v>2.0883748089924512</v>
      </c>
      <c r="C7" s="4">
        <v>0.221620294985484</v>
      </c>
    </row>
    <row r="8" spans="1:3" x14ac:dyDescent="0.3">
      <c r="A8" s="3" t="s">
        <v>34</v>
      </c>
      <c r="B8" s="4">
        <v>1.458843667016761</v>
      </c>
      <c r="C8" s="4">
        <v>0.26501704879364546</v>
      </c>
    </row>
    <row r="9" spans="1:3" x14ac:dyDescent="0.3">
      <c r="A9" s="3" t="s">
        <v>35</v>
      </c>
      <c r="B9" s="4">
        <v>1.438268128467705</v>
      </c>
      <c r="C9" s="4">
        <v>0.27339511334506006</v>
      </c>
    </row>
    <row r="10" spans="1:3" x14ac:dyDescent="0.3">
      <c r="A10" s="3" t="s">
        <v>36</v>
      </c>
      <c r="B10" s="4">
        <v>1.4644626956721176</v>
      </c>
      <c r="C10" s="4">
        <v>0.25990543419657652</v>
      </c>
    </row>
    <row r="11" spans="1:3" x14ac:dyDescent="0.3">
      <c r="A11" s="3" t="s">
        <v>37</v>
      </c>
      <c r="B11" s="4">
        <v>1.5534410844621094</v>
      </c>
      <c r="C11" s="4">
        <v>0.25892519906390293</v>
      </c>
    </row>
    <row r="12" spans="1:3" x14ac:dyDescent="0.3">
      <c r="A12" s="3" t="s">
        <v>38</v>
      </c>
      <c r="B12" s="4">
        <v>1.6309003035246723</v>
      </c>
      <c r="C12" s="4">
        <v>0.26669466247540002</v>
      </c>
    </row>
    <row r="13" spans="1:3" x14ac:dyDescent="0.3">
      <c r="A13" s="3" t="s">
        <v>27</v>
      </c>
      <c r="B13" s="4">
        <v>1.6162992926194357</v>
      </c>
      <c r="C13" s="4">
        <v>0.26229245852838956</v>
      </c>
    </row>
    <row r="14" spans="1:3" x14ac:dyDescent="0.3">
      <c r="A14" s="3" t="s">
        <v>28</v>
      </c>
      <c r="B14" s="4">
        <v>1.6421406047081317</v>
      </c>
      <c r="C14" s="4">
        <v>0.26093907707182146</v>
      </c>
    </row>
    <row r="15" spans="1:3" x14ac:dyDescent="0.3">
      <c r="A15" s="3" t="s">
        <v>29</v>
      </c>
      <c r="B15" s="4">
        <v>1.484003748192662</v>
      </c>
      <c r="C15" s="4">
        <v>0.2647927217720849</v>
      </c>
    </row>
    <row r="16" spans="1:3" x14ac:dyDescent="0.3">
      <c r="A16" s="3" t="s">
        <v>26</v>
      </c>
      <c r="B16" s="4">
        <v>1.6666074581369783</v>
      </c>
      <c r="C16" s="4">
        <v>0.25464139795700486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0:C23"/>
  <sheetViews>
    <sheetView workbookViewId="0">
      <selection activeCell="C18" sqref="C18"/>
    </sheetView>
  </sheetViews>
  <sheetFormatPr defaultRowHeight="14.4" x14ac:dyDescent="0.3"/>
  <cols>
    <col min="1" max="1" width="12.5546875" customWidth="1"/>
    <col min="2" max="2" width="28.88671875" customWidth="1"/>
    <col min="3" max="3" width="29.77734375" customWidth="1"/>
    <col min="4" max="4" width="19.33203125" customWidth="1"/>
    <col min="5" max="5" width="27.88671875" customWidth="1"/>
    <col min="6" max="7" width="8" customWidth="1"/>
    <col min="8" max="13" width="12" customWidth="1"/>
    <col min="14" max="14" width="11" customWidth="1"/>
    <col min="15" max="48" width="12" customWidth="1"/>
    <col min="49" max="49" width="11" customWidth="1"/>
    <col min="50" max="55" width="12" customWidth="1"/>
    <col min="56" max="56" width="11" customWidth="1"/>
    <col min="57" max="79" width="12" customWidth="1"/>
    <col min="80" max="80" width="11" customWidth="1"/>
    <col min="81" max="83" width="12" customWidth="1"/>
    <col min="84" max="84" width="11" customWidth="1"/>
    <col min="85" max="85" width="12" customWidth="1"/>
    <col min="86" max="86" width="11" customWidth="1"/>
    <col min="87" max="89" width="12" customWidth="1"/>
    <col min="90" max="90" width="11" customWidth="1"/>
    <col min="91" max="99" width="12" customWidth="1"/>
    <col min="100" max="100" width="11" customWidth="1"/>
    <col min="101" max="106" width="12" customWidth="1"/>
    <col min="107" max="107" width="11" customWidth="1"/>
    <col min="108" max="108" width="12" customWidth="1"/>
    <col min="109" max="109" width="11" customWidth="1"/>
    <col min="110" max="114" width="12" customWidth="1"/>
    <col min="115" max="115" width="11" customWidth="1"/>
    <col min="116" max="116" width="12" customWidth="1"/>
    <col min="117" max="117" width="11" customWidth="1"/>
    <col min="118" max="127" width="12" customWidth="1"/>
    <col min="128" max="128" width="11" customWidth="1"/>
    <col min="129" max="135" width="12" customWidth="1"/>
    <col min="136" max="136" width="11" customWidth="1"/>
    <col min="137" max="139" width="12" customWidth="1"/>
    <col min="140" max="140" width="11" customWidth="1"/>
    <col min="141" max="145" width="12" customWidth="1"/>
    <col min="146" max="146" width="11" customWidth="1"/>
    <col min="147" max="158" width="12" customWidth="1"/>
    <col min="159" max="159" width="11" customWidth="1"/>
    <col min="160" max="195" width="12" customWidth="1"/>
    <col min="196" max="196" width="11" customWidth="1"/>
    <col min="197" max="224" width="12" customWidth="1"/>
    <col min="225" max="225" width="11" customWidth="1"/>
    <col min="226" max="248" width="12" customWidth="1"/>
    <col min="249" max="249" width="11" customWidth="1"/>
    <col min="250" max="255" width="12" customWidth="1"/>
    <col min="256" max="256" width="11" customWidth="1"/>
    <col min="257" max="267" width="12" customWidth="1"/>
    <col min="268" max="268" width="11" customWidth="1"/>
    <col min="269" max="276" width="12" customWidth="1"/>
    <col min="277" max="277" width="11" customWidth="1"/>
    <col min="278" max="289" width="12" customWidth="1"/>
    <col min="290" max="290" width="11" customWidth="1"/>
    <col min="291" max="295" width="12" customWidth="1"/>
    <col min="296" max="296" width="11" customWidth="1"/>
    <col min="297" max="300" width="12" customWidth="1"/>
    <col min="301" max="301" width="11" customWidth="1"/>
    <col min="302" max="306" width="12" customWidth="1"/>
    <col min="307" max="307" width="11" customWidth="1"/>
    <col min="308" max="318" width="12" customWidth="1"/>
    <col min="319" max="319" width="11" customWidth="1"/>
    <col min="320" max="345" width="12" customWidth="1"/>
    <col min="346" max="346" width="11" customWidth="1"/>
    <col min="347" max="363" width="12" customWidth="1"/>
    <col min="364" max="364" width="11" customWidth="1"/>
    <col min="365" max="368" width="12" customWidth="1"/>
    <col min="369" max="369" width="10" customWidth="1"/>
    <col min="370" max="374" width="12" customWidth="1"/>
    <col min="375" max="375" width="11" customWidth="1"/>
    <col min="376" max="376" width="12" customWidth="1"/>
    <col min="377" max="377" width="11" customWidth="1"/>
    <col min="378" max="403" width="12" customWidth="1"/>
    <col min="404" max="404" width="11" customWidth="1"/>
    <col min="405" max="407" width="12" customWidth="1"/>
    <col min="408" max="408" width="11" customWidth="1"/>
    <col min="409" max="410" width="12" customWidth="1"/>
    <col min="411" max="411" width="11" customWidth="1"/>
    <col min="412" max="437" width="12" customWidth="1"/>
    <col min="438" max="438" width="11" customWidth="1"/>
    <col min="439" max="473" width="12" customWidth="1"/>
    <col min="474" max="474" width="11" customWidth="1"/>
    <col min="475" max="475" width="12" customWidth="1"/>
    <col min="476" max="476" width="11" customWidth="1"/>
    <col min="477" max="483" width="12" customWidth="1"/>
    <col min="484" max="484" width="11" customWidth="1"/>
    <col min="485" max="495" width="12" customWidth="1"/>
    <col min="496" max="496" width="11" customWidth="1"/>
    <col min="497" max="499" width="12" customWidth="1"/>
    <col min="500" max="501" width="11" customWidth="1"/>
    <col min="502" max="511" width="12" customWidth="1"/>
    <col min="512" max="512" width="11" customWidth="1"/>
    <col min="513" max="520" width="12" customWidth="1"/>
    <col min="521" max="521" width="11" customWidth="1"/>
    <col min="522" max="532" width="12" customWidth="1"/>
    <col min="533" max="534" width="12" bestFit="1" customWidth="1"/>
  </cols>
  <sheetData>
    <row r="10" spans="1:3" x14ac:dyDescent="0.3">
      <c r="A10" s="2" t="s">
        <v>25</v>
      </c>
      <c r="B10" t="s">
        <v>52</v>
      </c>
      <c r="C10" t="s">
        <v>53</v>
      </c>
    </row>
    <row r="11" spans="1:3" x14ac:dyDescent="0.3">
      <c r="A11" s="3" t="s">
        <v>30</v>
      </c>
      <c r="B11" s="4">
        <v>1809585.4193548388</v>
      </c>
      <c r="C11" s="4">
        <v>3402351.3965517241</v>
      </c>
    </row>
    <row r="12" spans="1:3" x14ac:dyDescent="0.3">
      <c r="A12" s="3" t="s">
        <v>31</v>
      </c>
      <c r="B12" s="4">
        <v>1692091.4255319149</v>
      </c>
      <c r="C12" s="4">
        <v>3921703.6315789474</v>
      </c>
    </row>
    <row r="13" spans="1:3" x14ac:dyDescent="0.3">
      <c r="A13" s="3" t="s">
        <v>32</v>
      </c>
      <c r="B13" s="4">
        <v>1699570.25</v>
      </c>
      <c r="C13" s="4">
        <v>3876248.1967213117</v>
      </c>
    </row>
    <row r="14" spans="1:3" x14ac:dyDescent="0.3">
      <c r="A14" s="3" t="s">
        <v>33</v>
      </c>
      <c r="B14" s="4">
        <v>1633210.4857142856</v>
      </c>
      <c r="C14" s="4">
        <v>5416500.9756097561</v>
      </c>
    </row>
    <row r="15" spans="1:3" x14ac:dyDescent="0.3">
      <c r="A15" s="3" t="s">
        <v>34</v>
      </c>
      <c r="B15" s="4">
        <v>1503606.5</v>
      </c>
      <c r="C15" s="4">
        <v>2626896.2903225808</v>
      </c>
    </row>
    <row r="16" spans="1:3" x14ac:dyDescent="0.3">
      <c r="A16" s="3" t="s">
        <v>35</v>
      </c>
      <c r="B16" s="4">
        <v>3211849.6666666665</v>
      </c>
      <c r="C16" s="4">
        <v>2355658.3103448274</v>
      </c>
    </row>
    <row r="17" spans="1:3" x14ac:dyDescent="0.3">
      <c r="A17" s="3" t="s">
        <v>36</v>
      </c>
      <c r="B17" s="4">
        <v>1185594.3333333333</v>
      </c>
      <c r="C17" s="4">
        <v>2515566.6129032257</v>
      </c>
    </row>
    <row r="18" spans="1:3" x14ac:dyDescent="0.3">
      <c r="A18" s="3" t="s">
        <v>37</v>
      </c>
      <c r="B18" s="4">
        <v>2135487.8695652173</v>
      </c>
      <c r="C18" s="4">
        <v>4831838.2580645159</v>
      </c>
    </row>
    <row r="19" spans="1:3" x14ac:dyDescent="0.3">
      <c r="A19" s="3" t="s">
        <v>38</v>
      </c>
      <c r="B19" s="4">
        <v>2206675.4615384615</v>
      </c>
      <c r="C19" s="4">
        <v>4194652.7</v>
      </c>
    </row>
    <row r="20" spans="1:3" x14ac:dyDescent="0.3">
      <c r="A20" s="3" t="s">
        <v>27</v>
      </c>
      <c r="B20" s="4">
        <v>1896325.935483871</v>
      </c>
      <c r="C20" s="4">
        <v>3139932.5217391304</v>
      </c>
    </row>
    <row r="21" spans="1:3" x14ac:dyDescent="0.3">
      <c r="A21" s="3" t="s">
        <v>28</v>
      </c>
      <c r="B21" s="4">
        <v>1945849.076923077</v>
      </c>
      <c r="C21" s="4">
        <v>3602993.559322034</v>
      </c>
    </row>
    <row r="22" spans="1:3" x14ac:dyDescent="0.3">
      <c r="A22" s="3" t="s">
        <v>29</v>
      </c>
      <c r="B22" s="4">
        <v>1921318.5806451612</v>
      </c>
      <c r="C22" s="4">
        <v>2307773.4363636365</v>
      </c>
    </row>
    <row r="23" spans="1:3" x14ac:dyDescent="0.3">
      <c r="A23" s="3" t="s">
        <v>26</v>
      </c>
      <c r="B23" s="4">
        <v>1881375.4575757575</v>
      </c>
      <c r="C23" s="4">
        <v>3528732.0056710774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J27" sqref="J27"/>
    </sheetView>
  </sheetViews>
  <sheetFormatPr defaultRowHeight="14.4" x14ac:dyDescent="0.3"/>
  <cols>
    <col min="1" max="1" width="12.5546875" bestFit="1" customWidth="1"/>
    <col min="2" max="2" width="19.21875" bestFit="1" customWidth="1"/>
  </cols>
  <sheetData>
    <row r="3" spans="1:2" x14ac:dyDescent="0.3">
      <c r="A3" s="2" t="s">
        <v>25</v>
      </c>
      <c r="B3" t="s">
        <v>67</v>
      </c>
    </row>
    <row r="4" spans="1:2" x14ac:dyDescent="0.3">
      <c r="A4" s="3" t="s">
        <v>30</v>
      </c>
      <c r="B4" s="4">
        <v>52</v>
      </c>
    </row>
    <row r="5" spans="1:2" x14ac:dyDescent="0.3">
      <c r="A5" s="3" t="s">
        <v>31</v>
      </c>
      <c r="B5" s="4">
        <v>56</v>
      </c>
    </row>
    <row r="6" spans="1:2" x14ac:dyDescent="0.3">
      <c r="A6" s="3" t="s">
        <v>32</v>
      </c>
      <c r="B6" s="4">
        <v>57</v>
      </c>
    </row>
    <row r="7" spans="1:2" x14ac:dyDescent="0.3">
      <c r="A7" s="3" t="s">
        <v>33</v>
      </c>
      <c r="B7" s="4">
        <v>41</v>
      </c>
    </row>
    <row r="8" spans="1:2" x14ac:dyDescent="0.3">
      <c r="A8" s="3" t="s">
        <v>34</v>
      </c>
      <c r="B8" s="4">
        <v>23</v>
      </c>
    </row>
    <row r="9" spans="1:2" x14ac:dyDescent="0.3">
      <c r="A9" s="3" t="s">
        <v>35</v>
      </c>
      <c r="B9" s="4">
        <v>25</v>
      </c>
    </row>
    <row r="10" spans="1:2" x14ac:dyDescent="0.3">
      <c r="A10" s="3" t="s">
        <v>36</v>
      </c>
      <c r="B10" s="4">
        <v>20</v>
      </c>
    </row>
    <row r="11" spans="1:2" x14ac:dyDescent="0.3">
      <c r="A11" s="3" t="s">
        <v>37</v>
      </c>
      <c r="B11" s="4">
        <v>30</v>
      </c>
    </row>
    <row r="12" spans="1:2" x14ac:dyDescent="0.3">
      <c r="A12" s="3" t="s">
        <v>38</v>
      </c>
      <c r="B12" s="4">
        <v>30</v>
      </c>
    </row>
    <row r="13" spans="1:2" x14ac:dyDescent="0.3">
      <c r="A13" s="3" t="s">
        <v>27</v>
      </c>
      <c r="B13" s="4">
        <v>41</v>
      </c>
    </row>
    <row r="14" spans="1:2" x14ac:dyDescent="0.3">
      <c r="A14" s="3" t="s">
        <v>28</v>
      </c>
      <c r="B14" s="4">
        <v>55</v>
      </c>
    </row>
    <row r="15" spans="1:2" x14ac:dyDescent="0.3">
      <c r="A15" s="3" t="s">
        <v>29</v>
      </c>
      <c r="B15" s="4">
        <v>48</v>
      </c>
    </row>
    <row r="16" spans="1:2" x14ac:dyDescent="0.3">
      <c r="A16" s="3" t="s">
        <v>26</v>
      </c>
      <c r="B16" s="4">
        <v>478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47"/>
  <sheetViews>
    <sheetView zoomScaleNormal="100" workbookViewId="0">
      <pane xSplit="1" ySplit="1" topLeftCell="B518" activePane="bottomRight" state="frozen"/>
      <selection pane="topRight" activeCell="B1" sqref="B1"/>
      <selection pane="bottomLeft" activeCell="A2" sqref="A2"/>
      <selection pane="bottomRight" activeCell="L10" sqref="L10"/>
    </sheetView>
  </sheetViews>
  <sheetFormatPr defaultRowHeight="14.4" x14ac:dyDescent="0.3"/>
  <cols>
    <col min="1" max="1" width="11.44140625" bestFit="1" customWidth="1"/>
    <col min="2" max="2" width="18" bestFit="1" customWidth="1"/>
    <col min="3" max="3" width="12.33203125" bestFit="1" customWidth="1"/>
    <col min="4" max="4" width="12" bestFit="1" customWidth="1"/>
    <col min="5" max="5" width="11" bestFit="1" customWidth="1"/>
    <col min="6" max="6" width="12.5546875" bestFit="1" customWidth="1"/>
    <col min="7" max="7" width="15.6640625" bestFit="1" customWidth="1"/>
    <col min="8" max="8" width="17" bestFit="1" customWidth="1"/>
    <col min="9" max="9" width="15.77734375" bestFit="1" customWidth="1"/>
    <col min="10" max="10" width="17.21875" bestFit="1" customWidth="1"/>
    <col min="11" max="11" width="17.6640625" bestFit="1" customWidth="1"/>
    <col min="12" max="12" width="14.5546875" bestFit="1" customWidth="1"/>
    <col min="13" max="13" width="14.109375" bestFit="1" customWidth="1"/>
    <col min="14" max="14" width="9.6640625" bestFit="1" customWidth="1"/>
    <col min="15" max="15" width="16.88671875" hidden="1" customWidth="1"/>
    <col min="16" max="16" width="13.88671875" hidden="1" customWidth="1"/>
    <col min="17" max="17" width="13.44140625" hidden="1" customWidth="1"/>
    <col min="18" max="18" width="18.109375" bestFit="1" customWidth="1"/>
    <col min="19" max="19" width="0.44140625" customWidth="1"/>
    <col min="20" max="20" width="18.88671875" bestFit="1" customWidth="1"/>
    <col min="21" max="21" width="9.6640625" customWidth="1"/>
    <col min="22" max="22" width="18.88671875" bestFit="1" customWidth="1"/>
    <col min="23" max="23" width="16.21875" bestFit="1" customWidth="1"/>
    <col min="24" max="24" width="16.33203125" bestFit="1" customWidth="1"/>
    <col min="25" max="25" width="17"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s="1">
        <v>45214</v>
      </c>
      <c r="B2">
        <v>2</v>
      </c>
      <c r="C2">
        <v>779.67898530092498</v>
      </c>
      <c r="D2">
        <v>115.48630474753701</v>
      </c>
      <c r="G2">
        <v>31.249027252197202</v>
      </c>
      <c r="H2">
        <v>75.694633483886705</v>
      </c>
      <c r="I2">
        <v>31.2624607086181</v>
      </c>
      <c r="J2">
        <v>75.707183837890597</v>
      </c>
      <c r="K2">
        <v>0.34060794417196999</v>
      </c>
      <c r="L2">
        <v>0.41731434680928797</v>
      </c>
      <c r="M2">
        <v>0.30448366600104099</v>
      </c>
      <c r="N2">
        <v>202</v>
      </c>
      <c r="O2">
        <v>70</v>
      </c>
      <c r="P2">
        <v>70</v>
      </c>
      <c r="Q2">
        <v>70</v>
      </c>
    </row>
    <row r="3" spans="1:25" x14ac:dyDescent="0.3">
      <c r="A3" s="1">
        <v>45215</v>
      </c>
      <c r="B3">
        <v>97</v>
      </c>
      <c r="C3">
        <v>1716.0952320573001</v>
      </c>
      <c r="D3">
        <v>3504.2230002340598</v>
      </c>
      <c r="E3">
        <v>5</v>
      </c>
      <c r="F3">
        <v>5</v>
      </c>
      <c r="G3">
        <v>31.249809265136701</v>
      </c>
      <c r="H3">
        <v>75.697166442871094</v>
      </c>
      <c r="I3">
        <v>31.262344360351499</v>
      </c>
      <c r="J3">
        <v>75.707984924316406</v>
      </c>
      <c r="K3">
        <v>0.47943025248960802</v>
      </c>
      <c r="L3">
        <v>1.5781752798133399</v>
      </c>
      <c r="M3">
        <v>0.26098599942946399</v>
      </c>
      <c r="N3">
        <v>5340</v>
      </c>
      <c r="T3">
        <v>2695964</v>
      </c>
    </row>
    <row r="4" spans="1:25" x14ac:dyDescent="0.3">
      <c r="A4" s="1">
        <v>45216</v>
      </c>
      <c r="B4">
        <v>4</v>
      </c>
      <c r="C4">
        <v>1608.67358088541</v>
      </c>
      <c r="D4">
        <v>237.497259480812</v>
      </c>
      <c r="G4">
        <v>31.253826141357401</v>
      </c>
      <c r="H4">
        <v>75.693374633789006</v>
      </c>
      <c r="I4">
        <v>31.254478454589801</v>
      </c>
      <c r="J4">
        <v>75.69482421875</v>
      </c>
      <c r="K4">
        <v>0.39777815664402599</v>
      </c>
      <c r="L4">
        <v>0.778700154730946</v>
      </c>
      <c r="M4">
        <v>0.25011158278656997</v>
      </c>
      <c r="N4">
        <v>576</v>
      </c>
      <c r="T4">
        <v>769698</v>
      </c>
    </row>
    <row r="5" spans="1:25" x14ac:dyDescent="0.3">
      <c r="A5" s="1">
        <v>45217</v>
      </c>
      <c r="B5">
        <v>59</v>
      </c>
      <c r="C5">
        <v>1725.42075345586</v>
      </c>
      <c r="D5">
        <v>1268.6378379580101</v>
      </c>
      <c r="E5">
        <v>35</v>
      </c>
      <c r="F5">
        <v>35</v>
      </c>
      <c r="K5">
        <v>0.44042018415690598</v>
      </c>
      <c r="L5">
        <v>1.65241696966996</v>
      </c>
      <c r="M5">
        <v>0.26098599942946399</v>
      </c>
      <c r="N5">
        <v>1942</v>
      </c>
      <c r="R5">
        <v>1983437</v>
      </c>
      <c r="T5">
        <v>740402</v>
      </c>
    </row>
    <row r="6" spans="1:25" x14ac:dyDescent="0.3">
      <c r="A6" s="1">
        <v>45218</v>
      </c>
      <c r="B6">
        <v>62</v>
      </c>
      <c r="C6">
        <v>1758.0856077255501</v>
      </c>
      <c r="D6">
        <v>2352.4925720096198</v>
      </c>
      <c r="E6">
        <v>35</v>
      </c>
      <c r="F6">
        <v>35</v>
      </c>
      <c r="G6">
        <v>31.249393463134702</v>
      </c>
      <c r="H6">
        <v>75.697319030761705</v>
      </c>
      <c r="I6">
        <v>31.253910064697202</v>
      </c>
      <c r="J6">
        <v>75.699424743652301</v>
      </c>
      <c r="K6">
        <v>0.64927925597178204</v>
      </c>
      <c r="L6">
        <v>1.6019211449330399</v>
      </c>
      <c r="M6">
        <v>0.25011158278656997</v>
      </c>
      <c r="N6">
        <v>3492</v>
      </c>
      <c r="R6">
        <v>1515235</v>
      </c>
      <c r="T6">
        <v>1828029</v>
      </c>
    </row>
    <row r="7" spans="1:25" x14ac:dyDescent="0.3">
      <c r="A7" s="1">
        <v>45219</v>
      </c>
      <c r="B7">
        <v>100</v>
      </c>
      <c r="C7">
        <v>1915.75333120304</v>
      </c>
      <c r="D7">
        <v>3693.3073495551798</v>
      </c>
      <c r="E7">
        <v>45</v>
      </c>
      <c r="F7">
        <v>45</v>
      </c>
      <c r="G7">
        <v>31.221578598022401</v>
      </c>
      <c r="H7">
        <v>75.694755554199205</v>
      </c>
      <c r="I7">
        <v>31.264938354492099</v>
      </c>
      <c r="J7">
        <v>75.766799926757798</v>
      </c>
      <c r="K7">
        <v>0.50066672865528905</v>
      </c>
      <c r="L7">
        <v>1.5269035122946499</v>
      </c>
      <c r="M7">
        <v>0.25011158278656997</v>
      </c>
      <c r="N7">
        <v>5496</v>
      </c>
      <c r="R7">
        <v>1680300</v>
      </c>
      <c r="T7">
        <v>4287983</v>
      </c>
      <c r="U7">
        <v>83289</v>
      </c>
    </row>
    <row r="8" spans="1:25" x14ac:dyDescent="0.3">
      <c r="A8" s="1">
        <v>45220</v>
      </c>
      <c r="B8">
        <v>197</v>
      </c>
      <c r="C8">
        <v>2022.9197741021601</v>
      </c>
      <c r="D8">
        <v>11189.0498986775</v>
      </c>
      <c r="E8">
        <v>71</v>
      </c>
      <c r="F8">
        <v>71</v>
      </c>
      <c r="G8">
        <v>31.2486457824707</v>
      </c>
      <c r="H8">
        <v>75.698867797851506</v>
      </c>
      <c r="I8">
        <v>31.2620944976806</v>
      </c>
      <c r="J8">
        <v>75.707710266113196</v>
      </c>
      <c r="K8">
        <v>0.59175482134530399</v>
      </c>
      <c r="L8">
        <v>1.76063375530189</v>
      </c>
      <c r="M8">
        <v>0.25895970407070101</v>
      </c>
      <c r="N8">
        <v>16358</v>
      </c>
      <c r="T8">
        <v>8197883</v>
      </c>
    </row>
    <row r="9" spans="1:25" x14ac:dyDescent="0.3">
      <c r="A9" s="1">
        <v>45221</v>
      </c>
      <c r="B9">
        <v>8</v>
      </c>
      <c r="C9">
        <v>1591.52283721716</v>
      </c>
      <c r="D9">
        <v>351.09476701235099</v>
      </c>
      <c r="E9">
        <v>1</v>
      </c>
      <c r="F9">
        <v>1</v>
      </c>
      <c r="G9">
        <v>31.249090194702099</v>
      </c>
      <c r="H9">
        <v>75.697525024414006</v>
      </c>
      <c r="I9">
        <v>31.260108947753899</v>
      </c>
      <c r="J9">
        <v>75.708923339843693</v>
      </c>
      <c r="K9">
        <v>0.57633976435979695</v>
      </c>
      <c r="L9">
        <v>1.44714275681882</v>
      </c>
      <c r="M9">
        <v>0.28611926791123099</v>
      </c>
      <c r="N9">
        <v>645</v>
      </c>
      <c r="T9">
        <v>462154</v>
      </c>
    </row>
    <row r="10" spans="1:25" x14ac:dyDescent="0.3">
      <c r="A10" s="1">
        <v>45222</v>
      </c>
      <c r="B10">
        <v>177</v>
      </c>
      <c r="C10">
        <v>1991.2091660400899</v>
      </c>
      <c r="D10">
        <v>6887.6940270197101</v>
      </c>
      <c r="E10">
        <v>69</v>
      </c>
      <c r="F10">
        <v>66</v>
      </c>
      <c r="K10">
        <v>0.62152762349573798</v>
      </c>
      <c r="L10">
        <v>2.8013492727637899</v>
      </c>
      <c r="M10">
        <v>0.253046898822408</v>
      </c>
      <c r="N10">
        <v>10044</v>
      </c>
      <c r="R10">
        <v>2345058</v>
      </c>
      <c r="T10">
        <v>3947019</v>
      </c>
      <c r="U10">
        <v>472740</v>
      </c>
    </row>
    <row r="11" spans="1:25" x14ac:dyDescent="0.3">
      <c r="A11" s="1">
        <v>45223</v>
      </c>
      <c r="B11">
        <v>1</v>
      </c>
      <c r="C11">
        <v>1570.4646910850599</v>
      </c>
      <c r="D11">
        <v>91.345099800312497</v>
      </c>
      <c r="G11">
        <v>31.253026962280199</v>
      </c>
      <c r="H11">
        <v>75.694793701171804</v>
      </c>
      <c r="I11">
        <v>31.2541790008544</v>
      </c>
      <c r="J11">
        <v>75.696327209472599</v>
      </c>
      <c r="K11">
        <v>0.32825963369172001</v>
      </c>
      <c r="L11">
        <v>0.48686669898336399</v>
      </c>
      <c r="M11">
        <v>0.24026656957307699</v>
      </c>
      <c r="N11">
        <v>323</v>
      </c>
      <c r="T11">
        <v>84543</v>
      </c>
    </row>
    <row r="12" spans="1:25" x14ac:dyDescent="0.3">
      <c r="A12" s="1">
        <v>45224</v>
      </c>
      <c r="B12">
        <v>84</v>
      </c>
      <c r="C12">
        <v>1815.9531662152699</v>
      </c>
      <c r="D12">
        <v>2450.4351751476702</v>
      </c>
      <c r="E12">
        <v>53</v>
      </c>
      <c r="F12">
        <v>52</v>
      </c>
      <c r="K12">
        <v>0.57753777263822004</v>
      </c>
      <c r="L12">
        <v>1.8837093052803799</v>
      </c>
      <c r="M12">
        <v>0.28273483271525301</v>
      </c>
      <c r="N12">
        <v>3635</v>
      </c>
      <c r="R12">
        <v>2555086</v>
      </c>
      <c r="T12">
        <v>1753334</v>
      </c>
    </row>
    <row r="13" spans="1:25" x14ac:dyDescent="0.3">
      <c r="A13" s="1">
        <v>45225</v>
      </c>
      <c r="B13">
        <v>80</v>
      </c>
      <c r="C13">
        <v>1818.1564541960799</v>
      </c>
      <c r="D13">
        <v>2768.8933442943498</v>
      </c>
      <c r="E13">
        <v>45</v>
      </c>
      <c r="F13">
        <v>45</v>
      </c>
      <c r="G13">
        <v>31.251295089721602</v>
      </c>
      <c r="H13">
        <v>75.684181213378906</v>
      </c>
      <c r="I13">
        <v>31.274950027465799</v>
      </c>
      <c r="J13">
        <v>75.706703186035099</v>
      </c>
      <c r="K13">
        <v>0.71713753660490698</v>
      </c>
      <c r="L13">
        <v>1.69639604342613</v>
      </c>
      <c r="M13">
        <v>0.25347668386434002</v>
      </c>
      <c r="N13">
        <v>4118</v>
      </c>
      <c r="R13">
        <v>1780213</v>
      </c>
      <c r="T13">
        <v>2621751</v>
      </c>
    </row>
    <row r="14" spans="1:25" x14ac:dyDescent="0.3">
      <c r="A14" s="1">
        <v>45226</v>
      </c>
      <c r="B14">
        <v>105</v>
      </c>
      <c r="C14">
        <v>1892.2129275355401</v>
      </c>
      <c r="D14">
        <v>5391.5164796999197</v>
      </c>
      <c r="E14">
        <v>56</v>
      </c>
      <c r="F14">
        <v>56</v>
      </c>
      <c r="G14">
        <v>31.249036788940401</v>
      </c>
      <c r="H14">
        <v>75.697341918945298</v>
      </c>
      <c r="I14">
        <v>31.2599372863769</v>
      </c>
      <c r="J14">
        <v>75.707527160644503</v>
      </c>
      <c r="K14">
        <v>0.70573192879159397</v>
      </c>
      <c r="L14">
        <v>1.5837928038017</v>
      </c>
      <c r="M14">
        <v>0.25430795372945503</v>
      </c>
      <c r="N14">
        <v>7753</v>
      </c>
      <c r="R14">
        <v>1025848</v>
      </c>
      <c r="T14">
        <v>4756689</v>
      </c>
    </row>
    <row r="15" spans="1:25" x14ac:dyDescent="0.3">
      <c r="A15" s="1">
        <v>45227</v>
      </c>
      <c r="B15">
        <v>10</v>
      </c>
      <c r="C15">
        <v>1648.34400651909</v>
      </c>
      <c r="D15">
        <v>459.87033564486097</v>
      </c>
      <c r="G15">
        <v>31.249080657958899</v>
      </c>
      <c r="H15">
        <v>75.694816589355398</v>
      </c>
      <c r="I15">
        <v>31.260236740112301</v>
      </c>
      <c r="J15">
        <v>75.707580566406193</v>
      </c>
      <c r="K15">
        <v>0.42619135065909403</v>
      </c>
      <c r="L15">
        <v>1.5212111144042699</v>
      </c>
      <c r="M15">
        <v>0.25011158278656997</v>
      </c>
      <c r="N15">
        <v>827</v>
      </c>
      <c r="T15">
        <v>1481061</v>
      </c>
    </row>
    <row r="16" spans="1:25" x14ac:dyDescent="0.3">
      <c r="A16" s="1">
        <v>45228</v>
      </c>
      <c r="B16">
        <v>27</v>
      </c>
      <c r="C16">
        <v>1664.29948814201</v>
      </c>
      <c r="D16">
        <v>1511.5396276010699</v>
      </c>
      <c r="E16">
        <v>9</v>
      </c>
      <c r="F16">
        <v>9</v>
      </c>
      <c r="G16">
        <v>31.249080657958899</v>
      </c>
      <c r="H16">
        <v>75.695755004882798</v>
      </c>
      <c r="I16">
        <v>31.260288238525298</v>
      </c>
      <c r="J16">
        <v>75.707527160644503</v>
      </c>
      <c r="K16">
        <v>0.45812378864959902</v>
      </c>
      <c r="L16">
        <v>1.52866271254762</v>
      </c>
      <c r="M16">
        <v>0.28273483271525301</v>
      </c>
      <c r="N16">
        <v>2289</v>
      </c>
      <c r="T16">
        <v>1767175</v>
      </c>
    </row>
    <row r="17" spans="1:21" x14ac:dyDescent="0.3">
      <c r="A17" s="1">
        <v>45229</v>
      </c>
      <c r="B17">
        <v>183</v>
      </c>
      <c r="C17">
        <v>2124.7890104882699</v>
      </c>
      <c r="D17">
        <v>6620.4374188311403</v>
      </c>
      <c r="E17">
        <v>80</v>
      </c>
      <c r="F17">
        <v>77</v>
      </c>
      <c r="G17">
        <v>31.248918533325099</v>
      </c>
      <c r="H17">
        <v>75.694770812988196</v>
      </c>
      <c r="I17">
        <v>31.2552185058593</v>
      </c>
      <c r="J17">
        <v>75.705841064453097</v>
      </c>
      <c r="K17">
        <v>0.68630530272109502</v>
      </c>
      <c r="L17">
        <v>1.9408612911907199</v>
      </c>
      <c r="M17">
        <v>0.25011158278656997</v>
      </c>
      <c r="N17">
        <v>9891</v>
      </c>
      <c r="R17">
        <v>3105073</v>
      </c>
      <c r="T17">
        <v>6683613</v>
      </c>
    </row>
    <row r="18" spans="1:21" x14ac:dyDescent="0.3">
      <c r="A18" s="1">
        <v>45230</v>
      </c>
      <c r="B18">
        <v>65</v>
      </c>
      <c r="C18">
        <v>1756.5373321330301</v>
      </c>
      <c r="D18">
        <v>1355.5711018105001</v>
      </c>
      <c r="E18">
        <v>41</v>
      </c>
      <c r="F18">
        <v>41</v>
      </c>
      <c r="G18">
        <v>31.249107360839801</v>
      </c>
      <c r="H18">
        <v>75.694770812988196</v>
      </c>
      <c r="I18">
        <v>31.255773544311499</v>
      </c>
      <c r="J18">
        <v>75.705413818359304</v>
      </c>
      <c r="K18">
        <v>0.42355706421998801</v>
      </c>
      <c r="L18">
        <v>1.45220596177395</v>
      </c>
      <c r="M18">
        <v>0.25011158278656997</v>
      </c>
      <c r="N18">
        <v>2253</v>
      </c>
      <c r="R18">
        <v>2416413</v>
      </c>
      <c r="T18">
        <v>681376</v>
      </c>
      <c r="U18">
        <v>67625</v>
      </c>
    </row>
    <row r="19" spans="1:21" x14ac:dyDescent="0.3">
      <c r="A19" s="1">
        <v>45231</v>
      </c>
      <c r="B19">
        <v>57</v>
      </c>
      <c r="C19">
        <v>1788.0297465407</v>
      </c>
      <c r="D19">
        <v>1620.74845765839</v>
      </c>
      <c r="E19">
        <v>36</v>
      </c>
      <c r="F19">
        <v>36</v>
      </c>
      <c r="G19">
        <v>31.249086380004801</v>
      </c>
      <c r="H19">
        <v>75.697601318359304</v>
      </c>
      <c r="I19">
        <v>31.260124206542901</v>
      </c>
      <c r="J19">
        <v>75.707649230957003</v>
      </c>
      <c r="K19">
        <v>0.42707784082378097</v>
      </c>
      <c r="L19">
        <v>1.58561213935221</v>
      </c>
      <c r="M19">
        <v>0.25011158278656997</v>
      </c>
      <c r="N19">
        <v>2514</v>
      </c>
      <c r="R19">
        <v>1880490</v>
      </c>
      <c r="T19">
        <v>1974256</v>
      </c>
    </row>
    <row r="20" spans="1:21" x14ac:dyDescent="0.3">
      <c r="A20" s="1">
        <v>45232</v>
      </c>
      <c r="B20">
        <v>79</v>
      </c>
      <c r="C20">
        <v>1805.00692789801</v>
      </c>
      <c r="D20">
        <v>2851.25809973471</v>
      </c>
      <c r="E20">
        <v>36</v>
      </c>
      <c r="F20">
        <v>36</v>
      </c>
      <c r="G20">
        <v>31.249130249023398</v>
      </c>
      <c r="H20">
        <v>75.697807312011705</v>
      </c>
      <c r="I20">
        <v>31.257947921752901</v>
      </c>
      <c r="J20">
        <v>75.706787109375</v>
      </c>
      <c r="K20">
        <v>0.88892355186079197</v>
      </c>
      <c r="L20">
        <v>1.6418111283607899</v>
      </c>
      <c r="M20">
        <v>0.26098599942946399</v>
      </c>
      <c r="N20">
        <v>4327</v>
      </c>
      <c r="R20">
        <v>1548392</v>
      </c>
      <c r="T20">
        <v>2633945</v>
      </c>
    </row>
    <row r="21" spans="1:21" x14ac:dyDescent="0.3">
      <c r="A21" s="1">
        <v>45233</v>
      </c>
      <c r="B21">
        <v>113</v>
      </c>
      <c r="C21">
        <v>1919.3680519739601</v>
      </c>
      <c r="D21">
        <v>3605.72294325536</v>
      </c>
      <c r="E21">
        <v>58</v>
      </c>
      <c r="F21">
        <v>58</v>
      </c>
      <c r="G21">
        <v>31.249160766601499</v>
      </c>
      <c r="H21">
        <v>75.696762084960895</v>
      </c>
      <c r="I21">
        <v>31.260267257690401</v>
      </c>
      <c r="J21">
        <v>75.706710815429602</v>
      </c>
      <c r="K21">
        <v>0.73529538816463802</v>
      </c>
      <c r="L21">
        <v>1.64032342731036</v>
      </c>
      <c r="M21">
        <v>0.25011158278656997</v>
      </c>
      <c r="N21">
        <v>5344</v>
      </c>
      <c r="R21">
        <v>2813230</v>
      </c>
      <c r="T21">
        <v>3331607</v>
      </c>
    </row>
    <row r="22" spans="1:21" x14ac:dyDescent="0.3">
      <c r="A22" s="1">
        <v>45234</v>
      </c>
      <c r="B22">
        <v>89</v>
      </c>
      <c r="C22">
        <v>1838.5181288112699</v>
      </c>
      <c r="D22">
        <v>2819.3206627599502</v>
      </c>
      <c r="E22">
        <v>50</v>
      </c>
      <c r="F22">
        <v>50</v>
      </c>
      <c r="G22">
        <v>31.2489929199218</v>
      </c>
      <c r="H22">
        <v>75.696205139160099</v>
      </c>
      <c r="I22">
        <v>31.251567840576101</v>
      </c>
      <c r="J22">
        <v>75.704971313476506</v>
      </c>
      <c r="K22">
        <v>0.51199077921239999</v>
      </c>
      <c r="L22">
        <v>1.7921135361395699</v>
      </c>
      <c r="M22">
        <v>0.25011158278656997</v>
      </c>
      <c r="N22">
        <v>4307</v>
      </c>
      <c r="R22">
        <v>2419843</v>
      </c>
      <c r="T22">
        <v>2302641</v>
      </c>
    </row>
    <row r="23" spans="1:21" x14ac:dyDescent="0.3">
      <c r="A23" s="1">
        <v>45235</v>
      </c>
      <c r="B23">
        <v>4</v>
      </c>
      <c r="C23">
        <v>1636.95213550925</v>
      </c>
      <c r="D23">
        <v>302.10189430603998</v>
      </c>
      <c r="G23">
        <v>31.250591278076101</v>
      </c>
      <c r="H23">
        <v>75.701751708984304</v>
      </c>
      <c r="I23">
        <v>31.2569866180419</v>
      </c>
      <c r="J23">
        <v>75.706565856933594</v>
      </c>
      <c r="K23">
        <v>0.36259086568085003</v>
      </c>
      <c r="L23">
        <v>0.78269557830644598</v>
      </c>
      <c r="M23">
        <v>0.24803770009784501</v>
      </c>
      <c r="N23">
        <v>727</v>
      </c>
      <c r="T23">
        <v>1276784</v>
      </c>
    </row>
    <row r="24" spans="1:21" x14ac:dyDescent="0.3">
      <c r="A24" s="1">
        <v>45236</v>
      </c>
      <c r="B24">
        <v>67</v>
      </c>
      <c r="C24">
        <v>1775.1477664384799</v>
      </c>
      <c r="D24">
        <v>2287.4182912440401</v>
      </c>
      <c r="E24">
        <v>34</v>
      </c>
      <c r="F24">
        <v>34</v>
      </c>
      <c r="G24">
        <v>31.249141693115199</v>
      </c>
      <c r="H24">
        <v>75.697883605957003</v>
      </c>
      <c r="I24">
        <v>31.2620544433593</v>
      </c>
      <c r="J24">
        <v>75.705009460449205</v>
      </c>
      <c r="K24">
        <v>0.73412834468335597</v>
      </c>
      <c r="L24">
        <v>1.45243339024545</v>
      </c>
      <c r="M24">
        <v>0.25011158278656997</v>
      </c>
      <c r="N24">
        <v>3507</v>
      </c>
      <c r="R24">
        <v>1659313</v>
      </c>
      <c r="T24">
        <v>1979858</v>
      </c>
    </row>
    <row r="25" spans="1:21" x14ac:dyDescent="0.3">
      <c r="A25" s="1">
        <v>45237</v>
      </c>
      <c r="B25">
        <v>78</v>
      </c>
      <c r="C25">
        <v>1863.06453281535</v>
      </c>
      <c r="D25">
        <v>3682.83151960131</v>
      </c>
      <c r="E25">
        <v>20</v>
      </c>
      <c r="F25">
        <v>20</v>
      </c>
      <c r="G25">
        <v>31.249139785766602</v>
      </c>
      <c r="H25">
        <v>75.697715759277301</v>
      </c>
      <c r="I25">
        <v>31.260498046875</v>
      </c>
      <c r="J25">
        <v>75.707473754882798</v>
      </c>
      <c r="K25">
        <v>0.639209376524141</v>
      </c>
      <c r="L25">
        <v>1.5445505466663201</v>
      </c>
      <c r="M25">
        <v>0.25443038041266303</v>
      </c>
      <c r="N25">
        <v>5620</v>
      </c>
      <c r="R25">
        <v>633370</v>
      </c>
      <c r="T25">
        <v>4653854</v>
      </c>
    </row>
    <row r="26" spans="1:21" x14ac:dyDescent="0.3">
      <c r="A26" s="1">
        <v>45238</v>
      </c>
      <c r="B26">
        <v>51</v>
      </c>
      <c r="C26">
        <v>1749.9176114033501</v>
      </c>
      <c r="D26">
        <v>663.90667360254997</v>
      </c>
      <c r="E26">
        <v>37</v>
      </c>
      <c r="F26">
        <v>37</v>
      </c>
      <c r="G26">
        <v>31.249078750610298</v>
      </c>
      <c r="H26">
        <v>75.697723388671804</v>
      </c>
      <c r="I26">
        <v>31.261306762695298</v>
      </c>
      <c r="J26">
        <v>75.706092834472599</v>
      </c>
      <c r="K26">
        <v>0.47327047255457799</v>
      </c>
      <c r="L26">
        <v>1.22502307511441</v>
      </c>
      <c r="M26">
        <v>0.28273483271525301</v>
      </c>
      <c r="N26">
        <v>1193</v>
      </c>
      <c r="R26">
        <v>2369658</v>
      </c>
      <c r="T26">
        <v>767555</v>
      </c>
    </row>
    <row r="27" spans="1:21" x14ac:dyDescent="0.3">
      <c r="A27" s="1">
        <v>45239</v>
      </c>
      <c r="B27">
        <v>72</v>
      </c>
      <c r="C27">
        <v>1771.4330464438799</v>
      </c>
      <c r="D27">
        <v>2333.7470924742602</v>
      </c>
      <c r="E27">
        <v>42</v>
      </c>
      <c r="F27">
        <v>42</v>
      </c>
      <c r="K27">
        <v>0.51410757926010897</v>
      </c>
      <c r="L27">
        <v>1.64214129725147</v>
      </c>
      <c r="M27">
        <v>0.25011158278656997</v>
      </c>
      <c r="N27">
        <v>3534</v>
      </c>
      <c r="R27">
        <v>1927604</v>
      </c>
      <c r="T27">
        <v>1626246</v>
      </c>
    </row>
    <row r="28" spans="1:21" x14ac:dyDescent="0.3">
      <c r="A28" s="1">
        <v>45240</v>
      </c>
      <c r="B28">
        <v>79</v>
      </c>
      <c r="C28">
        <v>1795.1854466761299</v>
      </c>
      <c r="D28">
        <v>3167.3007635244498</v>
      </c>
      <c r="E28">
        <v>39</v>
      </c>
      <c r="F28">
        <v>38</v>
      </c>
      <c r="G28">
        <v>31.2491550445556</v>
      </c>
      <c r="H28">
        <v>75.697883605957003</v>
      </c>
      <c r="I28">
        <v>31.2594280242919</v>
      </c>
      <c r="J28">
        <v>75.706649780273395</v>
      </c>
      <c r="K28">
        <v>0.69341707213234305</v>
      </c>
      <c r="L28">
        <v>2.3604281827650802</v>
      </c>
      <c r="M28">
        <v>0.25016263208102302</v>
      </c>
      <c r="N28">
        <v>4474</v>
      </c>
      <c r="R28">
        <v>1405918</v>
      </c>
      <c r="T28">
        <v>2610237</v>
      </c>
    </row>
    <row r="29" spans="1:21" x14ac:dyDescent="0.3">
      <c r="A29" s="1">
        <v>45241</v>
      </c>
      <c r="B29">
        <v>68</v>
      </c>
      <c r="C29">
        <v>1766.38928136251</v>
      </c>
      <c r="D29">
        <v>3725.1171196693599</v>
      </c>
      <c r="E29">
        <v>20</v>
      </c>
      <c r="F29">
        <v>19</v>
      </c>
      <c r="G29">
        <v>31.248151779174801</v>
      </c>
      <c r="H29">
        <v>75.696647644042898</v>
      </c>
      <c r="I29">
        <v>31.252107620239201</v>
      </c>
      <c r="J29">
        <v>75.705070495605398</v>
      </c>
      <c r="K29">
        <v>0.43056333276500802</v>
      </c>
      <c r="L29">
        <v>1.93699548365429</v>
      </c>
      <c r="M29">
        <v>0.25011158278656997</v>
      </c>
      <c r="N29">
        <v>5533</v>
      </c>
      <c r="T29">
        <v>3597828</v>
      </c>
    </row>
    <row r="30" spans="1:21" x14ac:dyDescent="0.3">
      <c r="A30" s="1">
        <v>45242</v>
      </c>
      <c r="B30">
        <v>115</v>
      </c>
      <c r="C30">
        <v>1820.2447103351001</v>
      </c>
      <c r="D30">
        <v>5682.2523844955103</v>
      </c>
      <c r="E30">
        <v>33</v>
      </c>
      <c r="F30">
        <v>33</v>
      </c>
      <c r="G30">
        <v>31.249996185302699</v>
      </c>
      <c r="H30">
        <v>75.697547912597599</v>
      </c>
      <c r="I30">
        <v>31.2613105773925</v>
      </c>
      <c r="J30">
        <v>75.706108093261705</v>
      </c>
      <c r="K30">
        <v>0.42630059777742801</v>
      </c>
      <c r="L30">
        <v>1.49815256914996</v>
      </c>
      <c r="M30">
        <v>0.25011158278656997</v>
      </c>
      <c r="N30">
        <v>8579</v>
      </c>
      <c r="T30">
        <v>4232925</v>
      </c>
      <c r="U30">
        <v>144374</v>
      </c>
    </row>
    <row r="31" spans="1:21" x14ac:dyDescent="0.3">
      <c r="A31" s="1">
        <v>45243</v>
      </c>
      <c r="B31">
        <v>79</v>
      </c>
      <c r="C31">
        <v>1753.58350459025</v>
      </c>
      <c r="D31">
        <v>3440.5237698937599</v>
      </c>
      <c r="E31">
        <v>4</v>
      </c>
      <c r="F31">
        <v>4</v>
      </c>
      <c r="G31">
        <v>31.2490539550781</v>
      </c>
      <c r="H31">
        <v>75.697769165039006</v>
      </c>
      <c r="I31">
        <v>31.257938385009702</v>
      </c>
      <c r="J31">
        <v>75.705108642578097</v>
      </c>
      <c r="K31">
        <v>0.52234304270389398</v>
      </c>
      <c r="L31">
        <v>1.7579831250989999</v>
      </c>
      <c r="M31">
        <v>0.25011158278656997</v>
      </c>
      <c r="N31">
        <v>5596</v>
      </c>
      <c r="T31">
        <v>3368197</v>
      </c>
    </row>
    <row r="32" spans="1:21" x14ac:dyDescent="0.3">
      <c r="A32" s="1">
        <v>45244</v>
      </c>
      <c r="B32">
        <v>294</v>
      </c>
      <c r="C32">
        <v>2178.6660208445001</v>
      </c>
      <c r="D32">
        <v>13754.6933463765</v>
      </c>
      <c r="E32">
        <v>52</v>
      </c>
      <c r="F32">
        <v>49</v>
      </c>
      <c r="G32">
        <v>31.249038696288999</v>
      </c>
      <c r="H32">
        <v>75.697769165039006</v>
      </c>
      <c r="I32">
        <v>31.2591953277587</v>
      </c>
      <c r="J32">
        <v>75.7066650390625</v>
      </c>
      <c r="K32">
        <v>0.61220857785369798</v>
      </c>
      <c r="L32">
        <v>2.1736314389131102</v>
      </c>
      <c r="M32">
        <v>0.248601872291149</v>
      </c>
      <c r="N32">
        <v>20385</v>
      </c>
      <c r="T32">
        <v>10559792</v>
      </c>
      <c r="U32">
        <v>170044</v>
      </c>
    </row>
    <row r="33" spans="1:21" x14ac:dyDescent="0.3">
      <c r="A33" s="1">
        <v>45245</v>
      </c>
      <c r="B33">
        <v>161</v>
      </c>
      <c r="C33">
        <v>1802.1271918836201</v>
      </c>
      <c r="D33">
        <v>7008.21791803</v>
      </c>
      <c r="E33">
        <v>18</v>
      </c>
      <c r="F33">
        <v>18</v>
      </c>
      <c r="G33">
        <v>31.249280929565401</v>
      </c>
      <c r="H33">
        <v>75.695991516113196</v>
      </c>
      <c r="I33">
        <v>31.261985778808501</v>
      </c>
      <c r="J33">
        <v>75.706764221191406</v>
      </c>
      <c r="K33">
        <v>0.48715704549835898</v>
      </c>
      <c r="L33">
        <v>1.64207020065626</v>
      </c>
      <c r="M33">
        <v>0.25011158278656997</v>
      </c>
      <c r="N33">
        <v>10620</v>
      </c>
      <c r="T33">
        <v>4238390</v>
      </c>
    </row>
    <row r="34" spans="1:21" x14ac:dyDescent="0.3">
      <c r="A34" s="1">
        <v>45246</v>
      </c>
      <c r="B34">
        <v>292</v>
      </c>
      <c r="C34">
        <v>2082.5005150781699</v>
      </c>
      <c r="D34">
        <v>12014.483801607201</v>
      </c>
      <c r="E34">
        <v>25</v>
      </c>
      <c r="F34">
        <v>25</v>
      </c>
      <c r="G34">
        <v>31.246332168579102</v>
      </c>
      <c r="H34">
        <v>75.700942993164006</v>
      </c>
      <c r="I34">
        <v>31.255876541137599</v>
      </c>
      <c r="J34">
        <v>75.710182189941406</v>
      </c>
      <c r="K34">
        <v>0.60119540329805798</v>
      </c>
      <c r="L34">
        <v>1.72208075847942</v>
      </c>
      <c r="M34">
        <v>0.25011158278656997</v>
      </c>
      <c r="N34">
        <v>18524</v>
      </c>
      <c r="T34">
        <v>9036325</v>
      </c>
      <c r="U34">
        <v>100403</v>
      </c>
    </row>
    <row r="35" spans="1:21" x14ac:dyDescent="0.3">
      <c r="A35" s="1">
        <v>45247</v>
      </c>
      <c r="B35">
        <v>333</v>
      </c>
      <c r="C35">
        <v>2110.6426897695901</v>
      </c>
      <c r="D35">
        <v>13825.195740752801</v>
      </c>
      <c r="E35">
        <v>33</v>
      </c>
      <c r="F35">
        <v>33</v>
      </c>
      <c r="G35">
        <v>31.246452331542901</v>
      </c>
      <c r="H35">
        <v>75.695442199707003</v>
      </c>
      <c r="I35">
        <v>31.260541915893501</v>
      </c>
      <c r="J35">
        <v>75.706787109375</v>
      </c>
      <c r="K35">
        <v>0.55708397716979496</v>
      </c>
      <c r="L35">
        <v>1.8458457255338201</v>
      </c>
      <c r="M35">
        <v>0.25011158278656997</v>
      </c>
      <c r="N35">
        <v>21001</v>
      </c>
      <c r="T35">
        <v>9770852</v>
      </c>
    </row>
    <row r="36" spans="1:21" x14ac:dyDescent="0.3">
      <c r="A36" s="1">
        <v>45248</v>
      </c>
      <c r="B36">
        <v>266</v>
      </c>
      <c r="C36">
        <v>2324.7142734959398</v>
      </c>
      <c r="D36">
        <v>9899.4741312037095</v>
      </c>
      <c r="E36">
        <v>95</v>
      </c>
      <c r="F36">
        <v>94</v>
      </c>
      <c r="G36">
        <v>31.249010086059499</v>
      </c>
      <c r="H36">
        <v>75.693206787109304</v>
      </c>
      <c r="I36">
        <v>31.261814117431602</v>
      </c>
      <c r="J36">
        <v>75.706779479980398</v>
      </c>
      <c r="K36">
        <v>0.59668049081165997</v>
      </c>
      <c r="L36">
        <v>1.96598213361036</v>
      </c>
      <c r="M36">
        <v>0.25462862994890001</v>
      </c>
      <c r="N36">
        <v>14913</v>
      </c>
      <c r="R36">
        <v>3517427</v>
      </c>
      <c r="T36">
        <v>9577928</v>
      </c>
      <c r="U36">
        <v>116853</v>
      </c>
    </row>
    <row r="37" spans="1:21" x14ac:dyDescent="0.3">
      <c r="A37" s="1">
        <v>45249</v>
      </c>
      <c r="B37">
        <v>71</v>
      </c>
      <c r="C37">
        <v>1819.5288426811201</v>
      </c>
      <c r="D37">
        <v>4295.0647502731099</v>
      </c>
      <c r="E37">
        <v>25</v>
      </c>
      <c r="F37">
        <v>25</v>
      </c>
      <c r="G37">
        <v>31.249082565307599</v>
      </c>
      <c r="H37">
        <v>75.696685791015597</v>
      </c>
      <c r="I37">
        <v>31.261013031005799</v>
      </c>
      <c r="J37">
        <v>75.705825805664006</v>
      </c>
      <c r="K37">
        <v>0.52854175344216703</v>
      </c>
      <c r="L37">
        <v>2.2741225477861899</v>
      </c>
      <c r="M37">
        <v>0.271860416072358</v>
      </c>
      <c r="N37">
        <v>6312</v>
      </c>
      <c r="T37">
        <v>4550718</v>
      </c>
    </row>
    <row r="38" spans="1:21" x14ac:dyDescent="0.3">
      <c r="A38" s="1">
        <v>45250</v>
      </c>
      <c r="B38">
        <v>73</v>
      </c>
      <c r="C38">
        <v>1838.2518493740899</v>
      </c>
      <c r="D38">
        <v>2774.4249048757501</v>
      </c>
      <c r="E38">
        <v>38</v>
      </c>
      <c r="F38">
        <v>38</v>
      </c>
      <c r="G38">
        <v>31.249111175537099</v>
      </c>
      <c r="H38">
        <v>75.696762084960895</v>
      </c>
      <c r="I38">
        <v>31.256343841552699</v>
      </c>
      <c r="J38">
        <v>75.705802917480398</v>
      </c>
      <c r="K38">
        <v>0.70195723767148699</v>
      </c>
      <c r="L38">
        <v>1.5352751682783199</v>
      </c>
      <c r="M38">
        <v>0.31606259455104302</v>
      </c>
      <c r="N38">
        <v>4031</v>
      </c>
      <c r="R38">
        <v>1560283</v>
      </c>
      <c r="T38">
        <v>3217365</v>
      </c>
    </row>
    <row r="39" spans="1:21" x14ac:dyDescent="0.3">
      <c r="A39" s="1">
        <v>45251</v>
      </c>
      <c r="B39">
        <v>93</v>
      </c>
      <c r="C39">
        <v>1855.56715304112</v>
      </c>
      <c r="D39">
        <v>3595.1591003378498</v>
      </c>
      <c r="E39">
        <v>47</v>
      </c>
      <c r="F39">
        <v>47</v>
      </c>
      <c r="K39">
        <v>0.84839345149065104</v>
      </c>
      <c r="L39">
        <v>1.4997017992817401</v>
      </c>
      <c r="M39">
        <v>0.25011158278656997</v>
      </c>
      <c r="N39">
        <v>5333</v>
      </c>
      <c r="R39">
        <v>1700788</v>
      </c>
      <c r="T39">
        <v>3377557</v>
      </c>
    </row>
    <row r="40" spans="1:21" x14ac:dyDescent="0.3">
      <c r="A40" s="1">
        <v>45252</v>
      </c>
      <c r="B40">
        <v>168</v>
      </c>
      <c r="C40">
        <v>1921.42458896734</v>
      </c>
      <c r="D40">
        <v>5120.33484819977</v>
      </c>
      <c r="E40">
        <v>74</v>
      </c>
      <c r="F40">
        <v>74</v>
      </c>
      <c r="K40">
        <v>0.45579734775337799</v>
      </c>
      <c r="L40">
        <v>1.97958299143705</v>
      </c>
      <c r="M40">
        <v>0.27382008800005803</v>
      </c>
      <c r="N40">
        <v>7647</v>
      </c>
      <c r="R40">
        <v>3575274</v>
      </c>
      <c r="T40">
        <v>2553299</v>
      </c>
    </row>
    <row r="41" spans="1:21" x14ac:dyDescent="0.3">
      <c r="A41" s="1">
        <v>45253</v>
      </c>
      <c r="B41">
        <v>76</v>
      </c>
      <c r="C41">
        <v>1787.5341649460399</v>
      </c>
      <c r="D41">
        <v>3272.3381547168201</v>
      </c>
      <c r="E41">
        <v>33</v>
      </c>
      <c r="F41">
        <v>33</v>
      </c>
      <c r="K41">
        <v>0.52206467724710703</v>
      </c>
      <c r="L41">
        <v>2.0137315198183199</v>
      </c>
      <c r="M41">
        <v>0.24476135482438299</v>
      </c>
      <c r="N41">
        <v>4764</v>
      </c>
      <c r="R41">
        <v>1211879</v>
      </c>
      <c r="T41">
        <v>2680604</v>
      </c>
    </row>
    <row r="42" spans="1:21" x14ac:dyDescent="0.3">
      <c r="A42" s="1">
        <v>45254</v>
      </c>
      <c r="B42">
        <v>63</v>
      </c>
      <c r="C42">
        <v>1783.5811329989499</v>
      </c>
      <c r="D42">
        <v>2676.5152983061998</v>
      </c>
      <c r="E42">
        <v>17</v>
      </c>
      <c r="F42">
        <v>17</v>
      </c>
      <c r="K42">
        <v>0.56807681952800104</v>
      </c>
      <c r="L42">
        <v>1.4391928640415099</v>
      </c>
      <c r="M42">
        <v>0.24254688348422501</v>
      </c>
      <c r="N42">
        <v>4143</v>
      </c>
      <c r="R42">
        <v>706598</v>
      </c>
      <c r="T42">
        <v>3150237</v>
      </c>
    </row>
    <row r="43" spans="1:21" x14ac:dyDescent="0.3">
      <c r="A43" s="1">
        <v>45255</v>
      </c>
      <c r="B43">
        <v>33</v>
      </c>
      <c r="C43">
        <v>1679.35999559984</v>
      </c>
      <c r="D43">
        <v>1696.2003520153801</v>
      </c>
      <c r="E43">
        <v>6</v>
      </c>
      <c r="F43">
        <v>6</v>
      </c>
      <c r="K43">
        <v>0.448077510528267</v>
      </c>
      <c r="L43">
        <v>1.8416957777362499</v>
      </c>
      <c r="M43">
        <v>0.25011158278656997</v>
      </c>
      <c r="N43">
        <v>2866</v>
      </c>
      <c r="T43">
        <v>2037235</v>
      </c>
    </row>
    <row r="44" spans="1:21" x14ac:dyDescent="0.3">
      <c r="A44" s="1">
        <v>45256</v>
      </c>
      <c r="B44">
        <v>15</v>
      </c>
      <c r="C44">
        <v>1605.42287745311</v>
      </c>
      <c r="D44">
        <v>740.38747443406805</v>
      </c>
      <c r="E44">
        <v>2</v>
      </c>
      <c r="F44">
        <v>1</v>
      </c>
      <c r="K44">
        <v>0.44977150385675702</v>
      </c>
      <c r="L44">
        <v>2.0416113550533099</v>
      </c>
      <c r="M44">
        <v>0.26098599942946399</v>
      </c>
      <c r="N44">
        <v>1239</v>
      </c>
      <c r="T44">
        <v>711406</v>
      </c>
    </row>
    <row r="45" spans="1:21" x14ac:dyDescent="0.3">
      <c r="A45" s="1">
        <v>45257</v>
      </c>
      <c r="B45">
        <v>8</v>
      </c>
      <c r="C45">
        <v>1580.35448129618</v>
      </c>
      <c r="D45">
        <v>488.19693008367801</v>
      </c>
      <c r="E45">
        <v>1</v>
      </c>
      <c r="F45">
        <v>1</v>
      </c>
      <c r="K45">
        <v>0.33791060523709698</v>
      </c>
      <c r="L45">
        <v>1.8401579543041799</v>
      </c>
      <c r="M45">
        <v>0.248029000478139</v>
      </c>
      <c r="N45">
        <v>831</v>
      </c>
      <c r="T45">
        <v>261884</v>
      </c>
    </row>
    <row r="46" spans="1:21" x14ac:dyDescent="0.3">
      <c r="A46" s="1">
        <v>45258</v>
      </c>
      <c r="B46">
        <v>96</v>
      </c>
      <c r="C46">
        <v>1885.4399366120999</v>
      </c>
      <c r="D46">
        <v>2101.6052908162001</v>
      </c>
      <c r="E46">
        <v>65</v>
      </c>
      <c r="F46">
        <v>65</v>
      </c>
      <c r="K46">
        <v>0.50927671103792305</v>
      </c>
      <c r="L46">
        <v>1.5474475288441401</v>
      </c>
      <c r="M46">
        <v>0.26098599942946399</v>
      </c>
      <c r="N46">
        <v>3442</v>
      </c>
      <c r="R46">
        <v>3572642</v>
      </c>
      <c r="T46">
        <v>1910844</v>
      </c>
    </row>
    <row r="47" spans="1:21" x14ac:dyDescent="0.3">
      <c r="A47" s="1">
        <v>45259</v>
      </c>
      <c r="B47">
        <v>190</v>
      </c>
      <c r="C47">
        <v>2191.7752687504599</v>
      </c>
      <c r="D47">
        <v>4962.0134791575802</v>
      </c>
      <c r="E47">
        <v>124</v>
      </c>
      <c r="F47">
        <v>120</v>
      </c>
      <c r="K47">
        <v>0.70063313102145497</v>
      </c>
      <c r="L47">
        <v>2.0771025881473801</v>
      </c>
      <c r="M47">
        <v>0.25482029627166097</v>
      </c>
      <c r="N47">
        <v>7414</v>
      </c>
      <c r="R47">
        <v>6154921</v>
      </c>
      <c r="T47">
        <v>4577586</v>
      </c>
    </row>
    <row r="48" spans="1:21" x14ac:dyDescent="0.3">
      <c r="A48" s="1">
        <v>45260</v>
      </c>
      <c r="B48">
        <v>86</v>
      </c>
      <c r="C48">
        <v>1862.42731242529</v>
      </c>
      <c r="D48">
        <v>4337.2831961997199</v>
      </c>
      <c r="E48">
        <v>45</v>
      </c>
      <c r="F48">
        <v>45</v>
      </c>
      <c r="K48">
        <v>0.63031628846586396</v>
      </c>
      <c r="L48">
        <v>1.6087961924424301</v>
      </c>
      <c r="M48">
        <v>0.25979491408639999</v>
      </c>
      <c r="N48">
        <v>6382</v>
      </c>
      <c r="R48">
        <v>1033287</v>
      </c>
      <c r="T48">
        <v>4214624</v>
      </c>
    </row>
    <row r="49" spans="1:20" x14ac:dyDescent="0.3">
      <c r="A49" s="1">
        <v>45261</v>
      </c>
      <c r="B49">
        <v>56</v>
      </c>
      <c r="C49">
        <v>1757.8330994806299</v>
      </c>
      <c r="D49">
        <v>1757.8306193102001</v>
      </c>
      <c r="E49">
        <v>29</v>
      </c>
      <c r="F49">
        <v>27</v>
      </c>
      <c r="K49">
        <v>0.57465788678127405</v>
      </c>
      <c r="L49">
        <v>1.87550394917645</v>
      </c>
      <c r="M49">
        <v>0.25011158278656997</v>
      </c>
      <c r="N49">
        <v>2793</v>
      </c>
      <c r="R49">
        <v>1378641</v>
      </c>
      <c r="T49">
        <v>1955367</v>
      </c>
    </row>
    <row r="50" spans="1:20" x14ac:dyDescent="0.3">
      <c r="A50" s="1">
        <v>45262</v>
      </c>
      <c r="B50">
        <v>74</v>
      </c>
      <c r="C50">
        <v>1856.0339507665799</v>
      </c>
      <c r="D50">
        <v>2499.5314707419898</v>
      </c>
      <c r="E50">
        <v>39</v>
      </c>
      <c r="F50">
        <v>38</v>
      </c>
      <c r="K50">
        <v>0.63797425914460204</v>
      </c>
      <c r="L50">
        <v>2.4707237600691001</v>
      </c>
      <c r="M50">
        <v>0.26098599942946399</v>
      </c>
      <c r="N50">
        <v>3676</v>
      </c>
      <c r="R50">
        <v>1655528</v>
      </c>
      <c r="T50">
        <v>3434345</v>
      </c>
    </row>
    <row r="51" spans="1:20" x14ac:dyDescent="0.3">
      <c r="A51" s="1">
        <v>45263</v>
      </c>
      <c r="C51">
        <v>1571.8793270543899</v>
      </c>
      <c r="D51">
        <v>80.253194824560197</v>
      </c>
      <c r="K51">
        <v>0.34344268085687502</v>
      </c>
      <c r="L51">
        <v>0.49115908501860001</v>
      </c>
      <c r="M51">
        <v>0.25753701668435203</v>
      </c>
      <c r="N51">
        <v>250</v>
      </c>
      <c r="T51">
        <v>109910</v>
      </c>
    </row>
    <row r="52" spans="1:20" x14ac:dyDescent="0.3">
      <c r="A52" s="1">
        <v>45264</v>
      </c>
      <c r="B52">
        <v>83</v>
      </c>
      <c r="C52">
        <v>1807.2221864359001</v>
      </c>
      <c r="D52">
        <v>3392.7016000272602</v>
      </c>
      <c r="E52">
        <v>40</v>
      </c>
      <c r="F52">
        <v>40</v>
      </c>
      <c r="K52">
        <v>0.57596677282837505</v>
      </c>
      <c r="L52">
        <v>1.8426477559452401</v>
      </c>
      <c r="M52">
        <v>0.25011158278656997</v>
      </c>
      <c r="N52">
        <v>5516</v>
      </c>
      <c r="R52">
        <v>1551641</v>
      </c>
      <c r="T52">
        <v>2664973</v>
      </c>
    </row>
    <row r="53" spans="1:20" x14ac:dyDescent="0.3">
      <c r="A53" s="1">
        <v>45265</v>
      </c>
      <c r="B53">
        <v>79</v>
      </c>
      <c r="C53">
        <v>1827.66225254289</v>
      </c>
      <c r="D53">
        <v>2736.5378628943199</v>
      </c>
      <c r="E53">
        <v>43</v>
      </c>
      <c r="F53">
        <v>43</v>
      </c>
      <c r="K53">
        <v>0.691818430149166</v>
      </c>
      <c r="L53">
        <v>1.5117498252597701</v>
      </c>
      <c r="M53">
        <v>0.25138109453218499</v>
      </c>
      <c r="N53">
        <v>4341</v>
      </c>
      <c r="R53">
        <v>1825266</v>
      </c>
      <c r="T53">
        <v>2744013</v>
      </c>
    </row>
    <row r="54" spans="1:20" x14ac:dyDescent="0.3">
      <c r="A54" s="1">
        <v>45266</v>
      </c>
      <c r="B54">
        <v>98</v>
      </c>
      <c r="C54">
        <v>1896.84503636316</v>
      </c>
      <c r="D54">
        <v>2289.8070264503399</v>
      </c>
      <c r="E54">
        <v>57</v>
      </c>
      <c r="F54">
        <v>57</v>
      </c>
      <c r="K54">
        <v>0.60684702547577396</v>
      </c>
      <c r="L54">
        <v>1.60268392351621</v>
      </c>
      <c r="M54">
        <v>0.298767638875784</v>
      </c>
      <c r="N54">
        <v>3646</v>
      </c>
      <c r="R54">
        <v>3308771</v>
      </c>
      <c r="T54">
        <v>2397629</v>
      </c>
    </row>
    <row r="55" spans="1:20" x14ac:dyDescent="0.3">
      <c r="A55" s="1">
        <v>45267</v>
      </c>
      <c r="B55">
        <v>91</v>
      </c>
      <c r="C55">
        <v>1873.76079387392</v>
      </c>
      <c r="D55">
        <v>2614.1612586018</v>
      </c>
      <c r="E55">
        <v>68</v>
      </c>
      <c r="F55">
        <v>68</v>
      </c>
      <c r="K55">
        <v>0.72858302773942796</v>
      </c>
      <c r="L55">
        <v>1.76276501108332</v>
      </c>
      <c r="M55">
        <v>0.25011158278656997</v>
      </c>
      <c r="N55">
        <v>3940</v>
      </c>
      <c r="R55">
        <v>3093362</v>
      </c>
      <c r="T55">
        <v>2213273</v>
      </c>
    </row>
    <row r="56" spans="1:20" x14ac:dyDescent="0.3">
      <c r="A56" s="1">
        <v>45268</v>
      </c>
      <c r="B56">
        <v>72</v>
      </c>
      <c r="C56">
        <v>1790.7264336481201</v>
      </c>
      <c r="D56">
        <v>2261.1540068661802</v>
      </c>
      <c r="E56">
        <v>25</v>
      </c>
      <c r="F56">
        <v>25</v>
      </c>
      <c r="K56">
        <v>0.48445155528862399</v>
      </c>
      <c r="L56">
        <v>1.57537557019087</v>
      </c>
      <c r="M56">
        <v>0.24983953406802401</v>
      </c>
      <c r="N56">
        <v>3619</v>
      </c>
      <c r="R56">
        <v>1322084</v>
      </c>
      <c r="T56">
        <v>2619959</v>
      </c>
    </row>
    <row r="57" spans="1:20" x14ac:dyDescent="0.3">
      <c r="A57" s="1">
        <v>45269</v>
      </c>
      <c r="B57">
        <v>17</v>
      </c>
      <c r="C57">
        <v>1627.56824170236</v>
      </c>
      <c r="D57">
        <v>1074.4970632966099</v>
      </c>
      <c r="E57">
        <v>5</v>
      </c>
      <c r="F57">
        <v>5</v>
      </c>
      <c r="K57">
        <v>0.50907627617181495</v>
      </c>
      <c r="L57">
        <v>1.3708006014904199</v>
      </c>
      <c r="M57">
        <v>0.25011158278656997</v>
      </c>
      <c r="N57">
        <v>1685</v>
      </c>
      <c r="T57">
        <v>1108513</v>
      </c>
    </row>
    <row r="58" spans="1:20" x14ac:dyDescent="0.3">
      <c r="A58" s="1">
        <v>45270</v>
      </c>
      <c r="B58">
        <v>18</v>
      </c>
      <c r="C58">
        <v>1565.74999999999</v>
      </c>
      <c r="D58">
        <v>740.40289636453304</v>
      </c>
      <c r="K58">
        <v>0.403464281685328</v>
      </c>
      <c r="L58">
        <v>1.4455109797624</v>
      </c>
      <c r="M58">
        <v>0.251883508606706</v>
      </c>
      <c r="N58">
        <v>1424</v>
      </c>
    </row>
    <row r="59" spans="1:20" x14ac:dyDescent="0.3">
      <c r="A59" s="1">
        <v>45271</v>
      </c>
      <c r="B59">
        <v>59</v>
      </c>
      <c r="C59">
        <v>1718.37578100312</v>
      </c>
      <c r="D59">
        <v>1478.75201921895</v>
      </c>
      <c r="E59">
        <v>34</v>
      </c>
      <c r="F59">
        <v>34</v>
      </c>
      <c r="K59">
        <v>0.43727070251834499</v>
      </c>
      <c r="L59">
        <v>1.7308016150449901</v>
      </c>
      <c r="M59">
        <v>0.26808414903605798</v>
      </c>
      <c r="N59">
        <v>2221</v>
      </c>
      <c r="R59">
        <v>1777849</v>
      </c>
      <c r="T59">
        <v>832829</v>
      </c>
    </row>
    <row r="60" spans="1:20" x14ac:dyDescent="0.3">
      <c r="A60" s="1">
        <v>45272</v>
      </c>
      <c r="B60">
        <v>61</v>
      </c>
      <c r="C60">
        <v>1769.5438569769599</v>
      </c>
      <c r="D60">
        <v>2717.4814251345501</v>
      </c>
      <c r="E60">
        <v>26</v>
      </c>
      <c r="F60">
        <v>26</v>
      </c>
      <c r="K60">
        <v>0.47940736852920801</v>
      </c>
      <c r="L60">
        <v>1.8333316917176801</v>
      </c>
      <c r="M60">
        <v>0.267002162769713</v>
      </c>
      <c r="N60">
        <v>4102</v>
      </c>
      <c r="R60">
        <v>729209</v>
      </c>
      <c r="T60">
        <v>2874336</v>
      </c>
    </row>
    <row r="61" spans="1:20" x14ac:dyDescent="0.3">
      <c r="A61" s="1">
        <v>45273</v>
      </c>
      <c r="B61">
        <v>108</v>
      </c>
      <c r="C61">
        <v>1987.63723458507</v>
      </c>
      <c r="D61">
        <v>3321.9847720422499</v>
      </c>
      <c r="E61">
        <v>72</v>
      </c>
      <c r="F61">
        <v>72</v>
      </c>
      <c r="K61">
        <v>0.704094651397836</v>
      </c>
      <c r="L61">
        <v>1.82098574374849</v>
      </c>
      <c r="M61">
        <v>0.25203737954067301</v>
      </c>
      <c r="N61">
        <v>5054</v>
      </c>
      <c r="R61">
        <v>3485283</v>
      </c>
      <c r="T61">
        <v>3836879</v>
      </c>
    </row>
    <row r="62" spans="1:20" x14ac:dyDescent="0.3">
      <c r="A62" s="1">
        <v>45274</v>
      </c>
      <c r="B62">
        <v>71</v>
      </c>
      <c r="C62">
        <v>1789.3489130261</v>
      </c>
      <c r="D62">
        <v>3435.0488944379999</v>
      </c>
      <c r="E62">
        <v>41</v>
      </c>
      <c r="F62">
        <v>40</v>
      </c>
      <c r="K62">
        <v>0.69332899967487505</v>
      </c>
      <c r="L62">
        <v>2.08650584427888</v>
      </c>
      <c r="M62">
        <v>0.25011158278656997</v>
      </c>
      <c r="N62">
        <v>4863</v>
      </c>
      <c r="R62">
        <v>1087226</v>
      </c>
      <c r="T62">
        <v>2845310</v>
      </c>
    </row>
    <row r="63" spans="1:20" x14ac:dyDescent="0.3">
      <c r="A63" s="1">
        <v>45275</v>
      </c>
      <c r="B63">
        <v>133</v>
      </c>
      <c r="C63">
        <v>2014.6985452387601</v>
      </c>
      <c r="D63">
        <v>3978.28727735045</v>
      </c>
      <c r="E63">
        <v>64</v>
      </c>
      <c r="F63">
        <v>64</v>
      </c>
      <c r="K63">
        <v>0.63670051684892204</v>
      </c>
      <c r="L63">
        <v>1.53579724605118</v>
      </c>
      <c r="M63">
        <v>0.27245618306078301</v>
      </c>
      <c r="N63">
        <v>6199</v>
      </c>
      <c r="R63">
        <v>3142920</v>
      </c>
      <c r="T63">
        <v>4688376</v>
      </c>
    </row>
    <row r="64" spans="1:20" x14ac:dyDescent="0.3">
      <c r="A64" s="1">
        <v>45276</v>
      </c>
      <c r="B64">
        <v>67</v>
      </c>
      <c r="C64">
        <v>1790.4342239525399</v>
      </c>
      <c r="D64">
        <v>2089.5389737198898</v>
      </c>
      <c r="E64">
        <v>38</v>
      </c>
      <c r="F64">
        <v>38</v>
      </c>
      <c r="K64">
        <v>0.456299430590491</v>
      </c>
      <c r="L64">
        <v>1.4696465597223101</v>
      </c>
      <c r="M64">
        <v>0.271860416072358</v>
      </c>
      <c r="N64">
        <v>3221</v>
      </c>
      <c r="R64">
        <v>1815784</v>
      </c>
      <c r="T64">
        <v>2086590</v>
      </c>
    </row>
    <row r="65" spans="1:20" x14ac:dyDescent="0.3">
      <c r="A65" s="1">
        <v>45277</v>
      </c>
      <c r="B65">
        <v>33</v>
      </c>
      <c r="C65">
        <v>1827.79593562789</v>
      </c>
      <c r="D65">
        <v>2380.97891314563</v>
      </c>
      <c r="E65">
        <v>22</v>
      </c>
      <c r="F65">
        <v>22</v>
      </c>
      <c r="K65">
        <v>0.44029978309706502</v>
      </c>
      <c r="L65">
        <v>1.5244131121078099</v>
      </c>
      <c r="M65">
        <v>0.25011158278656997</v>
      </c>
      <c r="N65">
        <v>3525</v>
      </c>
      <c r="T65">
        <v>4698961</v>
      </c>
    </row>
    <row r="66" spans="1:20" x14ac:dyDescent="0.3">
      <c r="A66" s="1">
        <v>45278</v>
      </c>
      <c r="C66">
        <v>1567.6352518460601</v>
      </c>
      <c r="D66">
        <v>158.54899465339901</v>
      </c>
      <c r="K66">
        <v>0.330672800453575</v>
      </c>
      <c r="L66">
        <v>0.75415514909051595</v>
      </c>
      <c r="M66">
        <v>0.242185501436808</v>
      </c>
      <c r="N66">
        <v>365</v>
      </c>
      <c r="T66">
        <v>33806</v>
      </c>
    </row>
    <row r="67" spans="1:20" x14ac:dyDescent="0.3">
      <c r="A67" s="1">
        <v>45279</v>
      </c>
      <c r="B67">
        <v>50</v>
      </c>
      <c r="C67">
        <v>1738.5186353874799</v>
      </c>
      <c r="D67">
        <v>409.653171368811</v>
      </c>
      <c r="E67">
        <v>40</v>
      </c>
      <c r="F67">
        <v>40</v>
      </c>
      <c r="K67">
        <v>0.51008865093679601</v>
      </c>
      <c r="L67">
        <v>1.5241974420798301</v>
      </c>
      <c r="M67">
        <v>0.258014630055452</v>
      </c>
      <c r="N67">
        <v>782</v>
      </c>
      <c r="R67">
        <v>2479405</v>
      </c>
      <c r="T67">
        <v>445751</v>
      </c>
    </row>
    <row r="68" spans="1:20" x14ac:dyDescent="0.3">
      <c r="A68" s="1">
        <v>45280</v>
      </c>
      <c r="B68">
        <v>68</v>
      </c>
      <c r="C68">
        <v>1792.67991174244</v>
      </c>
      <c r="D68">
        <v>2418.58930849136</v>
      </c>
      <c r="E68">
        <v>42</v>
      </c>
      <c r="F68">
        <v>42</v>
      </c>
      <c r="K68">
        <v>0.54166308944199004</v>
      </c>
      <c r="L68">
        <v>1.44611168879977</v>
      </c>
      <c r="M68">
        <v>0.25163538861000101</v>
      </c>
      <c r="N68">
        <v>3674</v>
      </c>
      <c r="R68">
        <v>1760120</v>
      </c>
      <c r="T68">
        <v>2186405</v>
      </c>
    </row>
    <row r="69" spans="1:20" x14ac:dyDescent="0.3">
      <c r="A69" s="1">
        <v>45281</v>
      </c>
      <c r="B69">
        <v>9</v>
      </c>
      <c r="C69">
        <v>1589.9014223582101</v>
      </c>
      <c r="D69">
        <v>365.88831323875797</v>
      </c>
      <c r="E69">
        <v>1</v>
      </c>
      <c r="F69">
        <v>1</v>
      </c>
      <c r="K69">
        <v>0.60211800884612399</v>
      </c>
      <c r="L69">
        <v>1.8309562719797701</v>
      </c>
      <c r="M69">
        <v>0.25011158278656997</v>
      </c>
      <c r="N69">
        <v>558</v>
      </c>
      <c r="T69">
        <v>433079</v>
      </c>
    </row>
    <row r="70" spans="1:20" x14ac:dyDescent="0.3">
      <c r="A70" s="1">
        <v>45282</v>
      </c>
      <c r="B70">
        <v>54</v>
      </c>
      <c r="C70">
        <v>1691.9162140744299</v>
      </c>
      <c r="D70">
        <v>887.48224126168498</v>
      </c>
      <c r="E70">
        <v>31</v>
      </c>
      <c r="F70">
        <v>31</v>
      </c>
      <c r="K70">
        <v>0.53227772985820299</v>
      </c>
      <c r="L70">
        <v>1.48185547764995</v>
      </c>
      <c r="M70">
        <v>0.24684821359003301</v>
      </c>
      <c r="N70">
        <v>1502</v>
      </c>
      <c r="R70">
        <v>1931492</v>
      </c>
      <c r="T70">
        <v>196206</v>
      </c>
    </row>
    <row r="71" spans="1:20" x14ac:dyDescent="0.3">
      <c r="A71" s="1">
        <v>45283</v>
      </c>
      <c r="B71">
        <v>122</v>
      </c>
      <c r="C71">
        <v>1947.8273880407</v>
      </c>
      <c r="D71">
        <v>2297.4780100047701</v>
      </c>
      <c r="E71">
        <v>76</v>
      </c>
      <c r="F71">
        <v>76</v>
      </c>
      <c r="K71">
        <v>0.53709212613767499</v>
      </c>
      <c r="L71">
        <v>1.64095723168865</v>
      </c>
      <c r="M71">
        <v>0.271860416072358</v>
      </c>
      <c r="N71">
        <v>3468</v>
      </c>
      <c r="R71">
        <v>4470191</v>
      </c>
      <c r="T71">
        <v>2069183</v>
      </c>
    </row>
    <row r="72" spans="1:20" x14ac:dyDescent="0.3">
      <c r="A72" s="1">
        <v>45284</v>
      </c>
      <c r="B72">
        <v>10</v>
      </c>
      <c r="C72">
        <v>1587.57743176658</v>
      </c>
      <c r="D72">
        <v>417.63448848748101</v>
      </c>
      <c r="K72">
        <v>0.325636608651035</v>
      </c>
      <c r="L72">
        <v>1.17004804194482</v>
      </c>
      <c r="M72">
        <v>0.25467820184260398</v>
      </c>
      <c r="N72">
        <v>782</v>
      </c>
      <c r="T72">
        <v>391406</v>
      </c>
    </row>
    <row r="73" spans="1:20" x14ac:dyDescent="0.3">
      <c r="A73" s="1">
        <v>45285</v>
      </c>
      <c r="B73">
        <v>31</v>
      </c>
      <c r="C73">
        <v>1651.10684066061</v>
      </c>
      <c r="D73">
        <v>1031.89533940459</v>
      </c>
      <c r="E73">
        <v>21</v>
      </c>
      <c r="F73">
        <v>19</v>
      </c>
      <c r="K73">
        <v>0.60488726136326898</v>
      </c>
      <c r="L73">
        <v>1.8902352634965101</v>
      </c>
      <c r="M73">
        <v>0.29360924935814697</v>
      </c>
      <c r="N73">
        <v>1599</v>
      </c>
      <c r="R73">
        <v>894258</v>
      </c>
      <c r="T73">
        <v>573985</v>
      </c>
    </row>
    <row r="74" spans="1:20" x14ac:dyDescent="0.3">
      <c r="A74" s="1">
        <v>45286</v>
      </c>
      <c r="B74">
        <v>1</v>
      </c>
      <c r="C74">
        <v>1565.74999999999</v>
      </c>
      <c r="D74">
        <v>56.3740062789239</v>
      </c>
      <c r="K74">
        <v>0.32079528585218797</v>
      </c>
      <c r="L74">
        <v>0.32623248906044</v>
      </c>
      <c r="M74">
        <v>0.315358082643936</v>
      </c>
      <c r="N74">
        <v>210</v>
      </c>
    </row>
    <row r="75" spans="1:20" x14ac:dyDescent="0.3">
      <c r="A75" s="1">
        <v>45287</v>
      </c>
      <c r="B75">
        <v>20</v>
      </c>
      <c r="C75">
        <v>1628.1225552053299</v>
      </c>
      <c r="D75">
        <v>1109.52985539408</v>
      </c>
      <c r="E75">
        <v>4</v>
      </c>
      <c r="F75">
        <v>4</v>
      </c>
      <c r="K75">
        <v>0.510871154615408</v>
      </c>
      <c r="L75">
        <v>1.5823166644562301</v>
      </c>
      <c r="M75">
        <v>0.271860416072358</v>
      </c>
      <c r="N75">
        <v>1806</v>
      </c>
      <c r="T75">
        <v>1118096</v>
      </c>
    </row>
    <row r="76" spans="1:20" x14ac:dyDescent="0.3">
      <c r="A76" s="1">
        <v>45288</v>
      </c>
      <c r="B76">
        <v>3</v>
      </c>
      <c r="C76">
        <v>1565.75</v>
      </c>
      <c r="D76">
        <v>113.528909751816</v>
      </c>
      <c r="K76">
        <v>0.39316980386754402</v>
      </c>
      <c r="L76">
        <v>0.478005290283677</v>
      </c>
      <c r="M76">
        <v>0.271860416072358</v>
      </c>
      <c r="N76">
        <v>263</v>
      </c>
    </row>
    <row r="77" spans="1:20" x14ac:dyDescent="0.3">
      <c r="A77" s="1">
        <v>45289</v>
      </c>
      <c r="C77">
        <v>1565.75</v>
      </c>
      <c r="D77">
        <v>57.416919874482097</v>
      </c>
      <c r="K77">
        <v>0.42232032703975098</v>
      </c>
      <c r="L77">
        <v>0.45725486649050601</v>
      </c>
      <c r="M77">
        <v>0.315358082643936</v>
      </c>
      <c r="N77">
        <v>257</v>
      </c>
    </row>
    <row r="78" spans="1:20" x14ac:dyDescent="0.3">
      <c r="A78" s="1">
        <v>45290</v>
      </c>
      <c r="B78">
        <v>11</v>
      </c>
      <c r="C78">
        <v>1601.1661473957899</v>
      </c>
      <c r="D78">
        <v>602.75504183996998</v>
      </c>
      <c r="E78">
        <v>3</v>
      </c>
      <c r="F78">
        <v>3</v>
      </c>
      <c r="K78">
        <v>0.59370413368625696</v>
      </c>
      <c r="L78">
        <v>1.4964965880911001</v>
      </c>
      <c r="M78">
        <v>0.258009439599301</v>
      </c>
      <c r="N78">
        <v>945</v>
      </c>
      <c r="T78">
        <v>635077</v>
      </c>
    </row>
    <row r="79" spans="1:20" x14ac:dyDescent="0.3">
      <c r="A79" s="1">
        <v>45291</v>
      </c>
      <c r="B79">
        <v>9</v>
      </c>
      <c r="C79">
        <v>1586.23330217796</v>
      </c>
      <c r="D79">
        <v>518.73836537619604</v>
      </c>
      <c r="E79">
        <v>2</v>
      </c>
      <c r="F79">
        <v>2</v>
      </c>
      <c r="K79">
        <v>0.43065823676650999</v>
      </c>
      <c r="L79">
        <v>1.34079274981702</v>
      </c>
      <c r="M79">
        <v>0.31270686424402599</v>
      </c>
      <c r="N79">
        <v>991</v>
      </c>
      <c r="T79">
        <v>367303</v>
      </c>
    </row>
    <row r="80" spans="1:20" x14ac:dyDescent="0.3">
      <c r="A80" s="1">
        <v>45292</v>
      </c>
      <c r="B80">
        <v>14</v>
      </c>
      <c r="C80">
        <v>1595.13288129074</v>
      </c>
      <c r="D80">
        <v>608.80866027018601</v>
      </c>
      <c r="K80">
        <v>0.37653435344724601</v>
      </c>
      <c r="L80">
        <v>1.3094639041979901</v>
      </c>
      <c r="M80">
        <v>0.271860416072358</v>
      </c>
      <c r="N80">
        <v>1108</v>
      </c>
      <c r="T80">
        <v>526889</v>
      </c>
    </row>
    <row r="81" spans="1:21" x14ac:dyDescent="0.3">
      <c r="A81" s="1">
        <v>45293</v>
      </c>
      <c r="B81">
        <v>148</v>
      </c>
      <c r="C81">
        <v>2029.26418737176</v>
      </c>
      <c r="D81">
        <v>8077.24664048668</v>
      </c>
      <c r="E81">
        <v>73</v>
      </c>
      <c r="F81">
        <v>73</v>
      </c>
      <c r="K81">
        <v>0.53644058702320896</v>
      </c>
      <c r="L81">
        <v>1.7591086959711399</v>
      </c>
      <c r="M81">
        <v>0.25011158278656997</v>
      </c>
      <c r="N81">
        <v>11646</v>
      </c>
      <c r="R81">
        <v>1316355</v>
      </c>
      <c r="T81">
        <v>6903504</v>
      </c>
    </row>
    <row r="82" spans="1:21" x14ac:dyDescent="0.3">
      <c r="A82" s="1">
        <v>45294</v>
      </c>
      <c r="B82">
        <v>19</v>
      </c>
      <c r="C82">
        <v>1627.08955441491</v>
      </c>
      <c r="D82">
        <v>1023.12162781215</v>
      </c>
      <c r="E82">
        <v>6</v>
      </c>
      <c r="F82">
        <v>6</v>
      </c>
      <c r="K82">
        <v>0.47915321955731199</v>
      </c>
      <c r="L82">
        <v>1.5223484583321401</v>
      </c>
      <c r="M82">
        <v>0.26098599942946399</v>
      </c>
      <c r="N82">
        <v>1584</v>
      </c>
      <c r="T82">
        <v>1099930</v>
      </c>
    </row>
    <row r="83" spans="1:21" x14ac:dyDescent="0.3">
      <c r="A83" s="1">
        <v>45295</v>
      </c>
      <c r="B83">
        <v>64</v>
      </c>
      <c r="C83">
        <v>1744.9463452520199</v>
      </c>
      <c r="D83">
        <v>3842.3758620499202</v>
      </c>
      <c r="E83">
        <v>34</v>
      </c>
      <c r="F83">
        <v>22</v>
      </c>
      <c r="K83">
        <v>0.78318570498428497</v>
      </c>
      <c r="L83">
        <v>2.0962124879329398</v>
      </c>
      <c r="M83">
        <v>0.26098599942946399</v>
      </c>
      <c r="N83">
        <v>5496</v>
      </c>
      <c r="T83">
        <v>3213317</v>
      </c>
    </row>
    <row r="84" spans="1:21" x14ac:dyDescent="0.3">
      <c r="A84" s="1">
        <v>45296</v>
      </c>
      <c r="B84">
        <v>10</v>
      </c>
      <c r="C84">
        <v>1574.0470376533499</v>
      </c>
      <c r="D84">
        <v>480.44304900630601</v>
      </c>
      <c r="K84">
        <v>0.348466572843111</v>
      </c>
      <c r="L84">
        <v>1.1016702182601701</v>
      </c>
      <c r="M84">
        <v>0.25011158278656997</v>
      </c>
      <c r="N84">
        <v>848</v>
      </c>
      <c r="T84">
        <v>148781</v>
      </c>
    </row>
    <row r="85" spans="1:21" x14ac:dyDescent="0.3">
      <c r="A85" s="1">
        <v>45297</v>
      </c>
      <c r="C85">
        <v>1565.75</v>
      </c>
      <c r="D85">
        <v>15.0066949671941</v>
      </c>
      <c r="K85">
        <v>0.25011158278656997</v>
      </c>
      <c r="L85">
        <v>0.25011158278656997</v>
      </c>
      <c r="M85">
        <v>0.25011158278656997</v>
      </c>
      <c r="N85">
        <v>43</v>
      </c>
    </row>
    <row r="86" spans="1:21" x14ac:dyDescent="0.3">
      <c r="A86" s="1">
        <v>45298</v>
      </c>
      <c r="B86">
        <v>9</v>
      </c>
      <c r="C86">
        <v>1581.1962276244201</v>
      </c>
      <c r="D86">
        <v>447.584070117539</v>
      </c>
      <c r="K86">
        <v>0.491808598995984</v>
      </c>
      <c r="L86">
        <v>1.0839761668188499</v>
      </c>
      <c r="M86">
        <v>0.271860416072358</v>
      </c>
      <c r="N86">
        <v>803</v>
      </c>
      <c r="T86">
        <v>276979</v>
      </c>
    </row>
    <row r="87" spans="1:21" x14ac:dyDescent="0.3">
      <c r="A87" s="1">
        <v>45299</v>
      </c>
      <c r="B87">
        <v>15</v>
      </c>
      <c r="C87">
        <v>1617.6938623927899</v>
      </c>
      <c r="D87">
        <v>712.57639009929301</v>
      </c>
      <c r="E87">
        <v>3</v>
      </c>
      <c r="F87">
        <v>3</v>
      </c>
      <c r="K87">
        <v>0.57299907107070003</v>
      </c>
      <c r="L87">
        <v>1.4705678030663001</v>
      </c>
      <c r="M87">
        <v>0.25011158278656997</v>
      </c>
      <c r="N87">
        <v>1185</v>
      </c>
      <c r="T87">
        <v>931448</v>
      </c>
    </row>
    <row r="88" spans="1:21" x14ac:dyDescent="0.3">
      <c r="A88" s="1">
        <v>45300</v>
      </c>
      <c r="B88">
        <v>5</v>
      </c>
      <c r="C88">
        <v>1565.75</v>
      </c>
      <c r="D88">
        <v>220.393841864205</v>
      </c>
      <c r="K88">
        <v>0.36993173520082501</v>
      </c>
      <c r="L88">
        <v>1.15064525726817</v>
      </c>
      <c r="M88">
        <v>0.271860416072358</v>
      </c>
      <c r="N88">
        <v>534</v>
      </c>
    </row>
    <row r="89" spans="1:21" x14ac:dyDescent="0.3">
      <c r="A89" s="1">
        <v>45301</v>
      </c>
      <c r="B89">
        <v>2</v>
      </c>
      <c r="C89">
        <v>1565.75</v>
      </c>
      <c r="D89">
        <v>112.87644475324301</v>
      </c>
      <c r="K89">
        <v>0.33939840530444199</v>
      </c>
      <c r="L89">
        <v>0.52848665728181698</v>
      </c>
      <c r="M89">
        <v>0.26098599942946399</v>
      </c>
      <c r="N89">
        <v>271</v>
      </c>
    </row>
    <row r="90" spans="1:21" x14ac:dyDescent="0.3">
      <c r="A90" s="1">
        <v>45302</v>
      </c>
      <c r="B90">
        <v>19</v>
      </c>
      <c r="C90">
        <v>1586.42950369597</v>
      </c>
      <c r="D90">
        <v>777.72420583078701</v>
      </c>
      <c r="E90">
        <v>1</v>
      </c>
      <c r="F90">
        <v>1</v>
      </c>
      <c r="K90">
        <v>0.60518843369294095</v>
      </c>
      <c r="L90">
        <v>1.4320418913169699</v>
      </c>
      <c r="M90">
        <v>0.26098599942946399</v>
      </c>
      <c r="N90">
        <v>1371</v>
      </c>
      <c r="T90">
        <v>370821</v>
      </c>
    </row>
    <row r="91" spans="1:21" x14ac:dyDescent="0.3">
      <c r="A91" s="1">
        <v>45303</v>
      </c>
      <c r="B91">
        <v>86</v>
      </c>
      <c r="C91">
        <v>1854.14157857283</v>
      </c>
      <c r="D91">
        <v>3180.2151434225502</v>
      </c>
      <c r="E91">
        <v>57</v>
      </c>
      <c r="F91">
        <v>57</v>
      </c>
      <c r="K91">
        <v>0.67489649063930601</v>
      </c>
      <c r="L91">
        <v>1.4242594413734</v>
      </c>
      <c r="M91">
        <v>0.315358082643936</v>
      </c>
      <c r="N91">
        <v>4604</v>
      </c>
      <c r="R91">
        <v>2232812</v>
      </c>
      <c r="T91">
        <v>2782871</v>
      </c>
    </row>
    <row r="92" spans="1:21" x14ac:dyDescent="0.3">
      <c r="A92" s="1">
        <v>45304</v>
      </c>
      <c r="B92">
        <v>1</v>
      </c>
      <c r="C92">
        <v>1565.75</v>
      </c>
      <c r="D92">
        <v>106.689742588732</v>
      </c>
      <c r="K92">
        <v>0.37290815776270497</v>
      </c>
      <c r="L92">
        <v>1.3064535627440099</v>
      </c>
      <c r="M92">
        <v>0.29360924935814697</v>
      </c>
      <c r="N92">
        <v>254</v>
      </c>
    </row>
    <row r="93" spans="1:21" x14ac:dyDescent="0.3">
      <c r="A93" s="1">
        <v>45305</v>
      </c>
      <c r="B93">
        <v>36</v>
      </c>
      <c r="C93">
        <v>1747.46977947916</v>
      </c>
      <c r="D93">
        <v>153.74008279860001</v>
      </c>
      <c r="E93">
        <v>32</v>
      </c>
      <c r="F93">
        <v>32</v>
      </c>
      <c r="K93">
        <v>0.391929696551783</v>
      </c>
      <c r="L93">
        <v>0.522930608231857</v>
      </c>
      <c r="M93">
        <v>0.32623246981076698</v>
      </c>
      <c r="N93">
        <v>265</v>
      </c>
      <c r="R93">
        <v>1949709</v>
      </c>
      <c r="T93">
        <v>1172895</v>
      </c>
    </row>
    <row r="94" spans="1:21" x14ac:dyDescent="0.3">
      <c r="A94" s="1">
        <v>45306</v>
      </c>
      <c r="B94">
        <v>31</v>
      </c>
      <c r="C94">
        <v>1656.57899775193</v>
      </c>
      <c r="D94">
        <v>1989.7371657835299</v>
      </c>
      <c r="E94">
        <v>17</v>
      </c>
      <c r="F94">
        <v>17</v>
      </c>
      <c r="K94">
        <v>0.56827437569066197</v>
      </c>
      <c r="L94">
        <v>1.3357218544349001</v>
      </c>
      <c r="M94">
        <v>0.252637209079906</v>
      </c>
      <c r="N94">
        <v>3084</v>
      </c>
      <c r="T94">
        <v>1628730</v>
      </c>
    </row>
    <row r="95" spans="1:21" x14ac:dyDescent="0.3">
      <c r="A95" s="1">
        <v>45307</v>
      </c>
      <c r="B95">
        <v>60</v>
      </c>
      <c r="C95">
        <v>1764.82617567888</v>
      </c>
      <c r="D95">
        <v>2644.94630853644</v>
      </c>
      <c r="E95">
        <v>39</v>
      </c>
      <c r="F95">
        <v>39</v>
      </c>
      <c r="K95">
        <v>0.57886971932527598</v>
      </c>
      <c r="L95">
        <v>1.4579745217881299</v>
      </c>
      <c r="M95">
        <v>0.25011158278656997</v>
      </c>
      <c r="N95">
        <v>3843</v>
      </c>
      <c r="R95">
        <v>1201154</v>
      </c>
      <c r="T95">
        <v>2091404</v>
      </c>
      <c r="U95">
        <v>84485</v>
      </c>
    </row>
    <row r="96" spans="1:21" x14ac:dyDescent="0.3">
      <c r="A96" s="1">
        <v>45308</v>
      </c>
      <c r="B96">
        <v>31</v>
      </c>
      <c r="C96">
        <v>1644.9471800911999</v>
      </c>
      <c r="D96">
        <v>2046.0274261817301</v>
      </c>
      <c r="E96">
        <v>18</v>
      </c>
      <c r="F96">
        <v>13</v>
      </c>
      <c r="K96">
        <v>0.61674951845624704</v>
      </c>
      <c r="L96">
        <v>2.2981873640714698</v>
      </c>
      <c r="M96">
        <v>0.26098599942946399</v>
      </c>
      <c r="N96">
        <v>2926</v>
      </c>
      <c r="T96">
        <v>1420150</v>
      </c>
    </row>
    <row r="97" spans="1:21" x14ac:dyDescent="0.3">
      <c r="A97" s="1">
        <v>45309</v>
      </c>
      <c r="B97">
        <v>79</v>
      </c>
      <c r="C97">
        <v>1848.5693881018899</v>
      </c>
      <c r="D97">
        <v>2799.3465462879799</v>
      </c>
      <c r="E97">
        <v>41</v>
      </c>
      <c r="F97">
        <v>41</v>
      </c>
      <c r="K97">
        <v>0.76043744322710105</v>
      </c>
      <c r="L97">
        <v>1.7604355816644499</v>
      </c>
      <c r="M97">
        <v>0.26466483130917701</v>
      </c>
      <c r="N97">
        <v>4161</v>
      </c>
      <c r="R97">
        <v>1707066</v>
      </c>
      <c r="T97">
        <v>3244883</v>
      </c>
    </row>
    <row r="98" spans="1:21" x14ac:dyDescent="0.3">
      <c r="A98" s="1">
        <v>45310</v>
      </c>
      <c r="B98">
        <v>83</v>
      </c>
      <c r="C98">
        <v>1810.0861802997299</v>
      </c>
      <c r="D98">
        <v>4077.3351865320601</v>
      </c>
      <c r="E98">
        <v>45</v>
      </c>
      <c r="F98">
        <v>45</v>
      </c>
      <c r="K98">
        <v>0.693172566888134</v>
      </c>
      <c r="L98">
        <v>1.6182189873903201</v>
      </c>
      <c r="M98">
        <v>0.271860416072358</v>
      </c>
      <c r="N98">
        <v>6244</v>
      </c>
      <c r="R98">
        <v>1113504</v>
      </c>
      <c r="T98">
        <v>3190239</v>
      </c>
    </row>
    <row r="99" spans="1:21" x14ac:dyDescent="0.3">
      <c r="A99" s="1">
        <v>45311</v>
      </c>
      <c r="B99">
        <v>112</v>
      </c>
      <c r="C99">
        <v>1836.2685488775001</v>
      </c>
      <c r="D99">
        <v>3486.0977261575099</v>
      </c>
      <c r="E99">
        <v>42</v>
      </c>
      <c r="F99">
        <v>42</v>
      </c>
      <c r="K99">
        <v>0.45826732601146097</v>
      </c>
      <c r="L99">
        <v>1.8823219066827399</v>
      </c>
      <c r="M99">
        <v>0.28273483271525301</v>
      </c>
      <c r="N99">
        <v>5424</v>
      </c>
      <c r="R99">
        <v>2131990</v>
      </c>
      <c r="T99">
        <v>2570225</v>
      </c>
    </row>
    <row r="100" spans="1:21" x14ac:dyDescent="0.3">
      <c r="A100" s="1">
        <v>45312</v>
      </c>
      <c r="B100">
        <v>147</v>
      </c>
      <c r="C100">
        <v>2023.3134109667601</v>
      </c>
      <c r="D100">
        <v>9778.2214726993407</v>
      </c>
      <c r="E100">
        <v>83</v>
      </c>
      <c r="F100">
        <v>83</v>
      </c>
      <c r="K100">
        <v>0.75107526677043901</v>
      </c>
      <c r="L100">
        <v>1.7431992383633199</v>
      </c>
      <c r="M100">
        <v>0.25011158278656997</v>
      </c>
      <c r="N100">
        <v>13855</v>
      </c>
      <c r="T100">
        <v>8200964</v>
      </c>
    </row>
    <row r="101" spans="1:21" x14ac:dyDescent="0.3">
      <c r="A101" s="1">
        <v>45313</v>
      </c>
      <c r="B101">
        <v>113</v>
      </c>
      <c r="C101">
        <v>1808.4761051723999</v>
      </c>
      <c r="D101">
        <v>4771.2829240574902</v>
      </c>
      <c r="E101">
        <v>40</v>
      </c>
      <c r="F101">
        <v>39</v>
      </c>
      <c r="K101">
        <v>0.46428072401602999</v>
      </c>
      <c r="L101">
        <v>2.12242122530848</v>
      </c>
      <c r="M101">
        <v>0.24917012244099801</v>
      </c>
      <c r="N101">
        <v>7429</v>
      </c>
      <c r="R101">
        <v>1341175</v>
      </c>
      <c r="T101">
        <v>2917819</v>
      </c>
    </row>
    <row r="102" spans="1:21" x14ac:dyDescent="0.3">
      <c r="A102" s="1">
        <v>45314</v>
      </c>
      <c r="B102">
        <v>49</v>
      </c>
      <c r="C102">
        <v>1712.9126754516401</v>
      </c>
      <c r="D102">
        <v>1101.2253095594899</v>
      </c>
      <c r="E102">
        <v>26</v>
      </c>
      <c r="F102">
        <v>26</v>
      </c>
      <c r="K102">
        <v>0.80968092098078004</v>
      </c>
      <c r="L102">
        <v>1.5464654910583999</v>
      </c>
      <c r="M102">
        <v>0.25011158278656997</v>
      </c>
      <c r="N102">
        <v>1867</v>
      </c>
      <c r="R102">
        <v>1661354</v>
      </c>
      <c r="T102">
        <v>861688</v>
      </c>
    </row>
    <row r="103" spans="1:21" x14ac:dyDescent="0.3">
      <c r="A103" s="1">
        <v>45315</v>
      </c>
      <c r="B103">
        <v>99</v>
      </c>
      <c r="C103">
        <v>1825.2785553241299</v>
      </c>
      <c r="D103">
        <v>4536.5379741001298</v>
      </c>
      <c r="E103">
        <v>44</v>
      </c>
      <c r="F103">
        <v>44</v>
      </c>
      <c r="K103">
        <v>0.50278705618748498</v>
      </c>
      <c r="L103">
        <v>1.68916383872422</v>
      </c>
      <c r="M103">
        <v>0.25011158278656997</v>
      </c>
      <c r="N103">
        <v>6679</v>
      </c>
      <c r="R103">
        <v>1374410</v>
      </c>
      <c r="T103">
        <v>3183566</v>
      </c>
    </row>
    <row r="104" spans="1:21" x14ac:dyDescent="0.3">
      <c r="A104" s="1">
        <v>45316</v>
      </c>
      <c r="B104">
        <v>75</v>
      </c>
      <c r="C104">
        <v>1796.1802039827401</v>
      </c>
      <c r="D104">
        <v>2358.4434625765398</v>
      </c>
      <c r="E104">
        <v>46</v>
      </c>
      <c r="F104">
        <v>46</v>
      </c>
      <c r="K104">
        <v>0.59897419817917097</v>
      </c>
      <c r="L104">
        <v>1.9150029210509301</v>
      </c>
      <c r="M104">
        <v>0.26098599942946399</v>
      </c>
      <c r="N104">
        <v>3547</v>
      </c>
      <c r="R104">
        <v>2231149</v>
      </c>
      <c r="T104">
        <v>1745294</v>
      </c>
    </row>
    <row r="105" spans="1:21" x14ac:dyDescent="0.3">
      <c r="A105" s="1">
        <v>45317</v>
      </c>
      <c r="B105">
        <v>185</v>
      </c>
      <c r="C105">
        <v>2162.9682010074798</v>
      </c>
      <c r="D105">
        <v>3556.42446855249</v>
      </c>
      <c r="E105">
        <v>139</v>
      </c>
      <c r="F105">
        <v>139</v>
      </c>
      <c r="K105">
        <v>0.389027696591978</v>
      </c>
      <c r="L105">
        <v>1.40718127957032</v>
      </c>
      <c r="M105">
        <v>0.25011158278656997</v>
      </c>
      <c r="N105">
        <v>5242</v>
      </c>
      <c r="R105">
        <v>7284445</v>
      </c>
      <c r="T105">
        <v>2916785</v>
      </c>
    </row>
    <row r="106" spans="1:21" x14ac:dyDescent="0.3">
      <c r="A106" s="1">
        <v>45318</v>
      </c>
      <c r="B106">
        <v>255</v>
      </c>
      <c r="C106">
        <v>2310.9798734470801</v>
      </c>
      <c r="D106">
        <v>13447.3306595788</v>
      </c>
      <c r="E106">
        <v>59</v>
      </c>
      <c r="F106">
        <v>58</v>
      </c>
      <c r="K106">
        <v>0.61623550121308202</v>
      </c>
      <c r="L106">
        <v>2.15356552070552</v>
      </c>
      <c r="M106">
        <v>0.244331101813476</v>
      </c>
      <c r="N106">
        <v>19898</v>
      </c>
      <c r="T106">
        <v>13125504</v>
      </c>
      <c r="U106">
        <v>100187</v>
      </c>
    </row>
    <row r="107" spans="1:21" x14ac:dyDescent="0.3">
      <c r="A107" s="1">
        <v>45319</v>
      </c>
      <c r="B107">
        <v>220</v>
      </c>
      <c r="C107">
        <v>2108.5351536959201</v>
      </c>
      <c r="D107">
        <v>10304.604386478701</v>
      </c>
      <c r="E107">
        <v>37</v>
      </c>
      <c r="F107">
        <v>35</v>
      </c>
      <c r="K107">
        <v>0.64669848012989894</v>
      </c>
      <c r="L107">
        <v>2.5214646227259299</v>
      </c>
      <c r="M107">
        <v>0.25933299620230299</v>
      </c>
      <c r="N107">
        <v>15465</v>
      </c>
      <c r="T107">
        <v>9458086</v>
      </c>
      <c r="U107">
        <v>106149</v>
      </c>
    </row>
    <row r="108" spans="1:21" x14ac:dyDescent="0.3">
      <c r="A108" s="1">
        <v>45320</v>
      </c>
      <c r="B108">
        <v>46</v>
      </c>
      <c r="C108">
        <v>1691.8977941898199</v>
      </c>
      <c r="D108">
        <v>1837.6268836471099</v>
      </c>
      <c r="E108">
        <v>17</v>
      </c>
      <c r="F108">
        <v>17</v>
      </c>
      <c r="K108">
        <v>0.52727642808116604</v>
      </c>
      <c r="L108">
        <v>2.0061278624037802</v>
      </c>
      <c r="M108">
        <v>0.29360924935814697</v>
      </c>
      <c r="N108">
        <v>2875</v>
      </c>
      <c r="R108">
        <v>712741</v>
      </c>
      <c r="T108">
        <v>1499616</v>
      </c>
    </row>
    <row r="109" spans="1:21" x14ac:dyDescent="0.3">
      <c r="A109" s="1">
        <v>45321</v>
      </c>
      <c r="B109">
        <v>113</v>
      </c>
      <c r="C109">
        <v>1893.5549449242901</v>
      </c>
      <c r="D109">
        <v>5181.1088791018501</v>
      </c>
      <c r="E109">
        <v>52</v>
      </c>
      <c r="F109">
        <v>50</v>
      </c>
      <c r="K109">
        <v>0.45417362902543201</v>
      </c>
      <c r="L109">
        <v>1.90626799314079</v>
      </c>
      <c r="M109">
        <v>0.25011158278656997</v>
      </c>
      <c r="N109">
        <v>7546</v>
      </c>
      <c r="R109">
        <v>1381382</v>
      </c>
      <c r="T109">
        <v>4400428</v>
      </c>
    </row>
    <row r="110" spans="1:21" x14ac:dyDescent="0.3">
      <c r="A110" s="1">
        <v>45322</v>
      </c>
      <c r="B110">
        <v>94</v>
      </c>
      <c r="C110">
        <v>1890.47424629596</v>
      </c>
      <c r="D110">
        <v>2442.0519457829901</v>
      </c>
      <c r="E110">
        <v>59</v>
      </c>
      <c r="F110">
        <v>59</v>
      </c>
      <c r="K110">
        <v>0.47592680590638098</v>
      </c>
      <c r="L110">
        <v>1.51062666744378</v>
      </c>
      <c r="M110">
        <v>0.25193731322073798</v>
      </c>
      <c r="N110">
        <v>3907</v>
      </c>
      <c r="R110">
        <v>3213890</v>
      </c>
      <c r="T110">
        <v>2384888</v>
      </c>
    </row>
    <row r="111" spans="1:21" x14ac:dyDescent="0.3">
      <c r="A111" s="1">
        <v>45323</v>
      </c>
      <c r="B111">
        <v>63</v>
      </c>
      <c r="C111">
        <v>1798.43908167888</v>
      </c>
      <c r="D111">
        <v>1662.65136293623</v>
      </c>
      <c r="E111">
        <v>42</v>
      </c>
      <c r="F111">
        <v>42</v>
      </c>
      <c r="K111">
        <v>0.62362841110397704</v>
      </c>
      <c r="L111">
        <v>1.6993877150054999</v>
      </c>
      <c r="M111">
        <v>0.25011158278656997</v>
      </c>
      <c r="N111">
        <v>2551</v>
      </c>
      <c r="R111">
        <v>2120661</v>
      </c>
      <c r="T111">
        <v>1900416</v>
      </c>
    </row>
    <row r="112" spans="1:21" x14ac:dyDescent="0.3">
      <c r="A112" s="1">
        <v>45324</v>
      </c>
      <c r="B112">
        <v>109</v>
      </c>
      <c r="C112">
        <v>1914.5973916266601</v>
      </c>
      <c r="D112">
        <v>3103.9676462295101</v>
      </c>
      <c r="E112">
        <v>58</v>
      </c>
      <c r="F112">
        <v>58</v>
      </c>
      <c r="K112">
        <v>0.63392741778468897</v>
      </c>
      <c r="L112">
        <v>1.6070265755933999</v>
      </c>
      <c r="M112">
        <v>0.25011158278656997</v>
      </c>
      <c r="N112">
        <v>4764</v>
      </c>
      <c r="R112">
        <v>3201435</v>
      </c>
      <c r="T112">
        <v>2830783</v>
      </c>
    </row>
    <row r="113" spans="1:21" x14ac:dyDescent="0.3">
      <c r="A113" s="1">
        <v>45325</v>
      </c>
      <c r="B113">
        <v>146</v>
      </c>
      <c r="C113">
        <v>2022.3240205781101</v>
      </c>
      <c r="D113">
        <v>3216.1334137389499</v>
      </c>
      <c r="E113">
        <v>98</v>
      </c>
      <c r="F113">
        <v>98</v>
      </c>
      <c r="K113">
        <v>0.44354899048067398</v>
      </c>
      <c r="L113">
        <v>1.7570384572600499</v>
      </c>
      <c r="M113">
        <v>0.24992964497994399</v>
      </c>
      <c r="N113">
        <v>4977</v>
      </c>
      <c r="R113">
        <v>5282124</v>
      </c>
      <c r="T113">
        <v>2536732</v>
      </c>
    </row>
    <row r="114" spans="1:21" x14ac:dyDescent="0.3">
      <c r="A114" s="1">
        <v>45326</v>
      </c>
      <c r="B114">
        <v>9</v>
      </c>
      <c r="C114">
        <v>1590.0270452539901</v>
      </c>
      <c r="D114">
        <v>408.86730429716198</v>
      </c>
      <c r="K114">
        <v>0.32771857158116902</v>
      </c>
      <c r="L114">
        <v>1.3881720326707201</v>
      </c>
      <c r="M114">
        <v>0.25011158278656997</v>
      </c>
      <c r="N114">
        <v>734</v>
      </c>
      <c r="T114">
        <v>435332</v>
      </c>
    </row>
    <row r="115" spans="1:21" x14ac:dyDescent="0.3">
      <c r="A115" s="1">
        <v>45327</v>
      </c>
      <c r="B115">
        <v>139</v>
      </c>
      <c r="C115">
        <v>2032.6669168144599</v>
      </c>
      <c r="D115">
        <v>4199.6345291150801</v>
      </c>
      <c r="E115">
        <v>77</v>
      </c>
      <c r="F115">
        <v>77</v>
      </c>
      <c r="K115">
        <v>0.59466683184197899</v>
      </c>
      <c r="L115">
        <v>1.7579911868143501</v>
      </c>
      <c r="M115">
        <v>0.26098599942946399</v>
      </c>
      <c r="N115">
        <v>6205</v>
      </c>
      <c r="R115">
        <v>3544707</v>
      </c>
      <c r="T115">
        <v>4580573</v>
      </c>
    </row>
    <row r="116" spans="1:21" x14ac:dyDescent="0.3">
      <c r="A116" s="1">
        <v>45328</v>
      </c>
      <c r="B116">
        <v>130</v>
      </c>
      <c r="C116">
        <v>2017.2846974305201</v>
      </c>
      <c r="D116">
        <v>5242.1387662892403</v>
      </c>
      <c r="E116">
        <v>54</v>
      </c>
      <c r="F116">
        <v>54</v>
      </c>
      <c r="K116">
        <v>0.52831073215559299</v>
      </c>
      <c r="L116">
        <v>1.5639611928797601</v>
      </c>
      <c r="M116">
        <v>0.25011158278656997</v>
      </c>
      <c r="N116">
        <v>8044</v>
      </c>
      <c r="R116">
        <v>2139381</v>
      </c>
      <c r="T116">
        <v>5808271</v>
      </c>
    </row>
    <row r="117" spans="1:21" x14ac:dyDescent="0.3">
      <c r="A117" s="1">
        <v>45329</v>
      </c>
      <c r="B117">
        <v>130</v>
      </c>
      <c r="C117">
        <v>2033.0802436855199</v>
      </c>
      <c r="D117">
        <v>5459.7624319591996</v>
      </c>
      <c r="E117">
        <v>50</v>
      </c>
      <c r="F117">
        <v>50</v>
      </c>
      <c r="K117">
        <v>0.56383329226816603</v>
      </c>
      <c r="L117">
        <v>1.7089553736248999</v>
      </c>
      <c r="M117">
        <v>0.249852325090651</v>
      </c>
      <c r="N117">
        <v>8288</v>
      </c>
      <c r="R117">
        <v>1587448</v>
      </c>
      <c r="T117">
        <v>6292678</v>
      </c>
      <c r="U117">
        <v>169974</v>
      </c>
    </row>
    <row r="118" spans="1:21" x14ac:dyDescent="0.3">
      <c r="A118" s="1">
        <v>45330</v>
      </c>
      <c r="B118">
        <v>74</v>
      </c>
      <c r="C118">
        <v>1777.4593407397699</v>
      </c>
      <c r="D118">
        <v>2639.4365107487702</v>
      </c>
      <c r="E118">
        <v>33</v>
      </c>
      <c r="F118">
        <v>33</v>
      </c>
      <c r="K118">
        <v>0.62939902736891695</v>
      </c>
      <c r="L118">
        <v>1.53115349325685</v>
      </c>
      <c r="M118">
        <v>0.26098599942946399</v>
      </c>
      <c r="N118">
        <v>4161</v>
      </c>
      <c r="R118">
        <v>1547739</v>
      </c>
      <c r="T118">
        <v>2140664</v>
      </c>
    </row>
    <row r="119" spans="1:21" x14ac:dyDescent="0.3">
      <c r="A119" s="1">
        <v>45331</v>
      </c>
      <c r="B119">
        <v>128</v>
      </c>
      <c r="C119">
        <v>2017.76676902431</v>
      </c>
      <c r="D119">
        <v>4959.3662920200204</v>
      </c>
      <c r="E119">
        <v>66</v>
      </c>
      <c r="F119">
        <v>66</v>
      </c>
      <c r="K119">
        <v>0.54829613846021197</v>
      </c>
      <c r="L119">
        <v>1.5337883294530501</v>
      </c>
      <c r="M119">
        <v>0.26098599942946399</v>
      </c>
      <c r="N119">
        <v>7482</v>
      </c>
      <c r="R119">
        <v>2524732</v>
      </c>
      <c r="T119">
        <v>5404692</v>
      </c>
    </row>
    <row r="120" spans="1:21" x14ac:dyDescent="0.3">
      <c r="A120" s="1">
        <v>45332</v>
      </c>
      <c r="B120">
        <v>80</v>
      </c>
      <c r="C120">
        <v>1872.05644671081</v>
      </c>
      <c r="D120">
        <v>4979.3429816422904</v>
      </c>
      <c r="E120">
        <v>35</v>
      </c>
      <c r="F120">
        <v>34</v>
      </c>
      <c r="K120">
        <v>0.50319108077126995</v>
      </c>
      <c r="L120">
        <v>1.88747501415894</v>
      </c>
      <c r="M120">
        <v>0.25011158278656997</v>
      </c>
      <c r="N120">
        <v>7213</v>
      </c>
      <c r="T120">
        <v>5492633</v>
      </c>
    </row>
    <row r="121" spans="1:21" x14ac:dyDescent="0.3">
      <c r="A121" s="1">
        <v>45333</v>
      </c>
      <c r="B121">
        <v>172</v>
      </c>
      <c r="C121">
        <v>2135.5107059536699</v>
      </c>
      <c r="D121">
        <v>11326.0151752819</v>
      </c>
      <c r="E121">
        <v>110</v>
      </c>
      <c r="F121">
        <v>109</v>
      </c>
      <c r="K121">
        <v>0.58135474594501602</v>
      </c>
      <c r="L121">
        <v>2.066467689045</v>
      </c>
      <c r="M121">
        <v>0.25011158278656997</v>
      </c>
      <c r="N121">
        <v>16250</v>
      </c>
      <c r="T121">
        <v>10216848</v>
      </c>
    </row>
    <row r="122" spans="1:21" x14ac:dyDescent="0.3">
      <c r="A122" s="1">
        <v>45334</v>
      </c>
      <c r="B122">
        <v>96</v>
      </c>
      <c r="C122">
        <v>1913.0420679866199</v>
      </c>
      <c r="D122">
        <v>2388.44904186965</v>
      </c>
      <c r="E122">
        <v>58</v>
      </c>
      <c r="F122">
        <v>58</v>
      </c>
      <c r="K122">
        <v>0.52989756004160304</v>
      </c>
      <c r="L122">
        <v>1.4943348020596801</v>
      </c>
      <c r="M122">
        <v>0.26427340262837501</v>
      </c>
      <c r="N122">
        <v>3638</v>
      </c>
      <c r="R122">
        <v>3224376</v>
      </c>
      <c r="T122">
        <v>2778353</v>
      </c>
    </row>
    <row r="123" spans="1:21" x14ac:dyDescent="0.3">
      <c r="A123" s="1">
        <v>45335</v>
      </c>
      <c r="B123">
        <v>104</v>
      </c>
      <c r="C123">
        <v>1863.7814012562001</v>
      </c>
      <c r="D123">
        <v>2628.5683741692901</v>
      </c>
      <c r="E123">
        <v>48</v>
      </c>
      <c r="F123">
        <v>48</v>
      </c>
      <c r="K123">
        <v>0.57420960885728201</v>
      </c>
      <c r="L123">
        <v>1.50776766648353</v>
      </c>
      <c r="M123">
        <v>0.25011158278656997</v>
      </c>
      <c r="N123">
        <v>4036</v>
      </c>
      <c r="R123">
        <v>2810147</v>
      </c>
      <c r="T123">
        <v>2338134</v>
      </c>
    </row>
    <row r="124" spans="1:21" x14ac:dyDescent="0.3">
      <c r="A124" s="1">
        <v>45336</v>
      </c>
      <c r="B124">
        <v>66</v>
      </c>
      <c r="C124">
        <v>1750.09064120584</v>
      </c>
      <c r="D124">
        <v>3120.7875091391402</v>
      </c>
      <c r="E124">
        <v>27</v>
      </c>
      <c r="F124">
        <v>27</v>
      </c>
      <c r="K124">
        <v>0.53975281519706697</v>
      </c>
      <c r="L124">
        <v>1.5684160424567</v>
      </c>
      <c r="M124">
        <v>0.25011158278656997</v>
      </c>
      <c r="N124">
        <v>4682</v>
      </c>
      <c r="R124">
        <v>793995</v>
      </c>
      <c r="T124">
        <v>2456201</v>
      </c>
    </row>
    <row r="125" spans="1:21" x14ac:dyDescent="0.3">
      <c r="A125" s="1">
        <v>45337</v>
      </c>
      <c r="B125">
        <v>59</v>
      </c>
      <c r="C125">
        <v>1720.6751157801</v>
      </c>
      <c r="D125">
        <v>2218.90804505093</v>
      </c>
      <c r="E125">
        <v>31</v>
      </c>
      <c r="F125">
        <v>30</v>
      </c>
      <c r="K125">
        <v>0.55091404478333805</v>
      </c>
      <c r="L125">
        <v>2.0348322510752199</v>
      </c>
      <c r="M125">
        <v>0.25127391547000999</v>
      </c>
      <c r="N125">
        <v>3362</v>
      </c>
      <c r="R125">
        <v>1295382</v>
      </c>
      <c r="T125">
        <v>1392375</v>
      </c>
    </row>
    <row r="126" spans="1:21" x14ac:dyDescent="0.3">
      <c r="A126" s="1">
        <v>45338</v>
      </c>
      <c r="B126">
        <v>84</v>
      </c>
      <c r="C126">
        <v>1841.8018148450101</v>
      </c>
      <c r="D126">
        <v>3379.63421333922</v>
      </c>
      <c r="E126">
        <v>20</v>
      </c>
      <c r="F126">
        <v>20</v>
      </c>
      <c r="K126">
        <v>0.60031945309981605</v>
      </c>
      <c r="L126">
        <v>1.5916269117284501</v>
      </c>
      <c r="M126">
        <v>0.271860416072358</v>
      </c>
      <c r="N126">
        <v>5313</v>
      </c>
      <c r="R126">
        <v>754468</v>
      </c>
      <c r="T126">
        <v>4143030</v>
      </c>
    </row>
    <row r="127" spans="1:21" x14ac:dyDescent="0.3">
      <c r="A127" s="1">
        <v>45339</v>
      </c>
      <c r="B127">
        <v>155</v>
      </c>
      <c r="C127">
        <v>2020.17876702426</v>
      </c>
      <c r="D127">
        <v>5973.0806922669999</v>
      </c>
      <c r="E127">
        <v>64</v>
      </c>
      <c r="F127">
        <v>64</v>
      </c>
      <c r="K127">
        <v>0.566565218290636</v>
      </c>
      <c r="L127">
        <v>1.6164040590783899</v>
      </c>
      <c r="M127">
        <v>0.250563276465957</v>
      </c>
      <c r="N127">
        <v>9040</v>
      </c>
      <c r="R127">
        <v>2267070</v>
      </c>
      <c r="T127">
        <v>5723574</v>
      </c>
    </row>
    <row r="128" spans="1:21" x14ac:dyDescent="0.3">
      <c r="A128" s="1">
        <v>45340</v>
      </c>
      <c r="B128">
        <v>46</v>
      </c>
      <c r="C128">
        <v>1726.9659914814799</v>
      </c>
      <c r="D128">
        <v>242.06451447082799</v>
      </c>
      <c r="E128">
        <v>43</v>
      </c>
      <c r="F128">
        <v>43</v>
      </c>
      <c r="K128">
        <v>0.30868757987166701</v>
      </c>
      <c r="L128">
        <v>0.68643579360099705</v>
      </c>
      <c r="M128">
        <v>0.24784276036873101</v>
      </c>
      <c r="N128">
        <v>547</v>
      </c>
      <c r="R128">
        <v>2607597</v>
      </c>
      <c r="T128">
        <v>101459</v>
      </c>
    </row>
    <row r="129" spans="1:20" x14ac:dyDescent="0.3">
      <c r="A129" s="1">
        <v>45341</v>
      </c>
      <c r="B129">
        <v>80</v>
      </c>
      <c r="C129">
        <v>1777.58895647397</v>
      </c>
      <c r="D129">
        <v>3546.8755536695298</v>
      </c>
      <c r="E129">
        <v>35</v>
      </c>
      <c r="F129">
        <v>35</v>
      </c>
      <c r="K129">
        <v>0.48597946587172097</v>
      </c>
      <c r="L129">
        <v>1.5188774590923999</v>
      </c>
      <c r="M129">
        <v>0.243377179301632</v>
      </c>
      <c r="N129">
        <v>5217</v>
      </c>
      <c r="R129">
        <v>1063999</v>
      </c>
      <c r="T129">
        <v>2660462</v>
      </c>
    </row>
    <row r="130" spans="1:20" x14ac:dyDescent="0.3">
      <c r="A130" s="1">
        <v>45342</v>
      </c>
      <c r="B130">
        <v>92</v>
      </c>
      <c r="C130">
        <v>1830.4644448112699</v>
      </c>
      <c r="D130">
        <v>4157.75184862078</v>
      </c>
      <c r="E130">
        <v>33</v>
      </c>
      <c r="F130">
        <v>33</v>
      </c>
      <c r="K130">
        <v>0.52356778185048902</v>
      </c>
      <c r="L130">
        <v>1.7599311477944</v>
      </c>
      <c r="M130">
        <v>0.25011158278656997</v>
      </c>
      <c r="N130">
        <v>6301</v>
      </c>
      <c r="R130">
        <v>962008</v>
      </c>
      <c r="T130">
        <v>3717718</v>
      </c>
    </row>
    <row r="131" spans="1:20" x14ac:dyDescent="0.3">
      <c r="A131" s="1">
        <v>45343</v>
      </c>
      <c r="B131">
        <v>77</v>
      </c>
      <c r="C131">
        <v>1821.04749418191</v>
      </c>
      <c r="D131">
        <v>3643.5507507288098</v>
      </c>
      <c r="E131">
        <v>30</v>
      </c>
      <c r="F131">
        <v>30</v>
      </c>
      <c r="K131">
        <v>0.48693787972512798</v>
      </c>
      <c r="L131">
        <v>1.66494082489049</v>
      </c>
      <c r="M131">
        <v>0.271860416072358</v>
      </c>
      <c r="N131">
        <v>5594</v>
      </c>
      <c r="R131">
        <v>865846</v>
      </c>
      <c r="T131">
        <v>3651721</v>
      </c>
    </row>
    <row r="132" spans="1:20" x14ac:dyDescent="0.3">
      <c r="A132" s="1">
        <v>45344</v>
      </c>
      <c r="B132">
        <v>83</v>
      </c>
      <c r="C132">
        <v>1813.36849612637</v>
      </c>
      <c r="D132">
        <v>3986.4083383351199</v>
      </c>
      <c r="E132">
        <v>40</v>
      </c>
      <c r="F132">
        <v>40</v>
      </c>
      <c r="K132">
        <v>0.57591954631101505</v>
      </c>
      <c r="L132">
        <v>1.79058928997498</v>
      </c>
      <c r="M132">
        <v>0.247140765283997</v>
      </c>
      <c r="N132">
        <v>5861</v>
      </c>
      <c r="R132">
        <v>1055036</v>
      </c>
      <c r="T132">
        <v>3311643</v>
      </c>
    </row>
    <row r="133" spans="1:20" x14ac:dyDescent="0.3">
      <c r="A133" s="1">
        <v>45345</v>
      </c>
      <c r="B133">
        <v>76</v>
      </c>
      <c r="C133">
        <v>1737.7124411643099</v>
      </c>
      <c r="D133">
        <v>3367.7655268671701</v>
      </c>
      <c r="E133">
        <v>25</v>
      </c>
      <c r="F133">
        <v>25</v>
      </c>
      <c r="K133">
        <v>0.50117989904117199</v>
      </c>
      <c r="L133">
        <v>1.4620178297684101</v>
      </c>
      <c r="M133">
        <v>0.25011158278656997</v>
      </c>
      <c r="N133">
        <v>5110</v>
      </c>
      <c r="R133">
        <v>653858</v>
      </c>
      <c r="T133">
        <v>2384145</v>
      </c>
    </row>
    <row r="134" spans="1:20" x14ac:dyDescent="0.3">
      <c r="A134" s="1">
        <v>45346</v>
      </c>
      <c r="B134">
        <v>43</v>
      </c>
      <c r="C134">
        <v>1682.2509384027701</v>
      </c>
      <c r="D134">
        <v>794.70367960512306</v>
      </c>
      <c r="E134">
        <v>23</v>
      </c>
      <c r="F134">
        <v>23</v>
      </c>
      <c r="K134">
        <v>0.65636583858429598</v>
      </c>
      <c r="L134">
        <v>1.3967134847270399</v>
      </c>
      <c r="M134">
        <v>0.27274490262385698</v>
      </c>
      <c r="N134">
        <v>1370</v>
      </c>
      <c r="R134">
        <v>1490819</v>
      </c>
      <c r="T134">
        <v>494293</v>
      </c>
    </row>
    <row r="135" spans="1:20" x14ac:dyDescent="0.3">
      <c r="A135" s="1">
        <v>45347</v>
      </c>
      <c r="B135">
        <v>87</v>
      </c>
      <c r="C135">
        <v>1642.53867013842</v>
      </c>
      <c r="D135">
        <v>4715.2592824419899</v>
      </c>
      <c r="E135">
        <v>28</v>
      </c>
      <c r="F135">
        <v>28</v>
      </c>
      <c r="K135">
        <v>0.52114458948099296</v>
      </c>
      <c r="L135">
        <v>1.6357703685457201</v>
      </c>
      <c r="M135">
        <v>0.25011158278656997</v>
      </c>
      <c r="N135">
        <v>7137</v>
      </c>
      <c r="T135">
        <v>1376962</v>
      </c>
    </row>
    <row r="136" spans="1:20" x14ac:dyDescent="0.3">
      <c r="A136" s="1">
        <v>45348</v>
      </c>
      <c r="B136">
        <v>135</v>
      </c>
      <c r="C136">
        <v>2000.74072890292</v>
      </c>
      <c r="D136">
        <v>4334.6117963370698</v>
      </c>
      <c r="E136">
        <v>64</v>
      </c>
      <c r="F136">
        <v>64</v>
      </c>
      <c r="K136">
        <v>0.65900709346083097</v>
      </c>
      <c r="L136">
        <v>1.76135505414393</v>
      </c>
      <c r="M136">
        <v>0.242245128830788</v>
      </c>
      <c r="N136">
        <v>6458</v>
      </c>
      <c r="R136">
        <v>3068244</v>
      </c>
      <c r="T136">
        <v>4517969</v>
      </c>
    </row>
    <row r="137" spans="1:20" x14ac:dyDescent="0.3">
      <c r="A137" s="1">
        <v>45349</v>
      </c>
      <c r="B137">
        <v>81</v>
      </c>
      <c r="C137">
        <v>1795.4919188444601</v>
      </c>
      <c r="D137">
        <v>3733.3126378074098</v>
      </c>
      <c r="E137">
        <v>40</v>
      </c>
      <c r="F137">
        <v>40</v>
      </c>
      <c r="K137">
        <v>0.58436315366479696</v>
      </c>
      <c r="L137">
        <v>1.8096542232223001</v>
      </c>
      <c r="M137">
        <v>0.25011158278656997</v>
      </c>
      <c r="N137">
        <v>5566</v>
      </c>
      <c r="R137">
        <v>1209407</v>
      </c>
      <c r="T137">
        <v>2812875</v>
      </c>
    </row>
    <row r="138" spans="1:20" x14ac:dyDescent="0.3">
      <c r="A138" s="1">
        <v>45350</v>
      </c>
      <c r="B138">
        <v>70</v>
      </c>
      <c r="C138">
        <v>1794.97946694901</v>
      </c>
      <c r="D138">
        <v>3508.46935490129</v>
      </c>
      <c r="E138">
        <v>14</v>
      </c>
      <c r="F138">
        <v>12</v>
      </c>
      <c r="K138">
        <v>0.62961614183097403</v>
      </c>
      <c r="L138">
        <v>2.0555003143358301</v>
      </c>
      <c r="M138">
        <v>0.25065729501174699</v>
      </c>
      <c r="N138">
        <v>5353</v>
      </c>
      <c r="T138">
        <v>4070236</v>
      </c>
    </row>
    <row r="139" spans="1:20" x14ac:dyDescent="0.3">
      <c r="A139" s="1">
        <v>45351</v>
      </c>
      <c r="B139">
        <v>148</v>
      </c>
      <c r="C139">
        <v>2042.83017950061</v>
      </c>
      <c r="D139">
        <v>5429.9243762412898</v>
      </c>
      <c r="E139">
        <v>81</v>
      </c>
      <c r="F139">
        <v>81</v>
      </c>
      <c r="K139">
        <v>0.63477747090365</v>
      </c>
      <c r="L139">
        <v>1.59464639461333</v>
      </c>
      <c r="M139">
        <v>0.25176191833524902</v>
      </c>
      <c r="N139">
        <v>8238</v>
      </c>
      <c r="R139">
        <v>3429498</v>
      </c>
      <c r="T139">
        <v>4886261</v>
      </c>
    </row>
    <row r="140" spans="1:20" x14ac:dyDescent="0.3">
      <c r="A140" s="1">
        <v>45352</v>
      </c>
      <c r="B140">
        <v>128</v>
      </c>
      <c r="C140">
        <v>1983.1058967746101</v>
      </c>
      <c r="D140">
        <v>5049.04865043482</v>
      </c>
      <c r="E140">
        <v>78</v>
      </c>
      <c r="F140">
        <v>78</v>
      </c>
      <c r="K140">
        <v>0.72267493893255497</v>
      </c>
      <c r="L140">
        <v>1.7432819094991701</v>
      </c>
      <c r="M140">
        <v>0.29360924935814697</v>
      </c>
      <c r="N140">
        <v>7234</v>
      </c>
      <c r="R140">
        <v>2856955</v>
      </c>
      <c r="T140">
        <v>4427768</v>
      </c>
    </row>
    <row r="141" spans="1:20" x14ac:dyDescent="0.3">
      <c r="A141" s="1">
        <v>45353</v>
      </c>
      <c r="B141">
        <v>149</v>
      </c>
      <c r="C141">
        <v>1950.87994852103</v>
      </c>
      <c r="D141">
        <v>5284.9240501348104</v>
      </c>
      <c r="E141">
        <v>62</v>
      </c>
      <c r="F141">
        <v>62</v>
      </c>
      <c r="K141">
        <v>0.56803426525066303</v>
      </c>
      <c r="L141">
        <v>1.79205006922183</v>
      </c>
      <c r="M141">
        <v>0.26098599942946399</v>
      </c>
      <c r="N141">
        <v>8020</v>
      </c>
      <c r="R141">
        <v>2601769</v>
      </c>
      <c r="T141">
        <v>4122879</v>
      </c>
    </row>
    <row r="142" spans="1:20" x14ac:dyDescent="0.3">
      <c r="A142" s="1">
        <v>45354</v>
      </c>
      <c r="B142">
        <v>27</v>
      </c>
      <c r="C142">
        <v>1682.0651601649299</v>
      </c>
      <c r="D142">
        <v>304.43647350567699</v>
      </c>
      <c r="E142">
        <v>21</v>
      </c>
      <c r="F142">
        <v>21</v>
      </c>
      <c r="K142">
        <v>0.58910191395587497</v>
      </c>
      <c r="L142">
        <v>1.5635745571146999</v>
      </c>
      <c r="M142">
        <v>0.25011158278656997</v>
      </c>
      <c r="N142">
        <v>725</v>
      </c>
      <c r="R142">
        <v>1330722</v>
      </c>
      <c r="T142">
        <v>662223</v>
      </c>
    </row>
    <row r="143" spans="1:20" x14ac:dyDescent="0.3">
      <c r="A143" s="1">
        <v>45355</v>
      </c>
      <c r="B143">
        <v>85</v>
      </c>
      <c r="C143">
        <v>1829.59348544779</v>
      </c>
      <c r="D143">
        <v>2959.6219780139199</v>
      </c>
      <c r="E143">
        <v>33</v>
      </c>
      <c r="F143">
        <v>33</v>
      </c>
      <c r="K143">
        <v>0.633869663968749</v>
      </c>
      <c r="L143">
        <v>1.59512739244142</v>
      </c>
      <c r="M143">
        <v>0.25011158278656997</v>
      </c>
      <c r="N143">
        <v>4503</v>
      </c>
      <c r="R143">
        <v>1664110</v>
      </c>
      <c r="T143">
        <v>2951038</v>
      </c>
    </row>
    <row r="144" spans="1:20" x14ac:dyDescent="0.3">
      <c r="A144" s="1">
        <v>45356</v>
      </c>
      <c r="B144">
        <v>69</v>
      </c>
      <c r="C144">
        <v>1777.8021583745599</v>
      </c>
      <c r="D144">
        <v>1251.34067154901</v>
      </c>
      <c r="E144">
        <v>39</v>
      </c>
      <c r="F144">
        <v>39</v>
      </c>
      <c r="K144">
        <v>0.37398433000970899</v>
      </c>
      <c r="L144">
        <v>1.47021927171339</v>
      </c>
      <c r="M144">
        <v>0.24649990951887901</v>
      </c>
      <c r="N144">
        <v>1958</v>
      </c>
      <c r="R144">
        <v>2307674</v>
      </c>
      <c r="T144">
        <v>1333882</v>
      </c>
    </row>
    <row r="145" spans="1:20" x14ac:dyDescent="0.3">
      <c r="A145" s="1">
        <v>45357</v>
      </c>
      <c r="B145">
        <v>62</v>
      </c>
      <c r="C145">
        <v>1780.0195755510899</v>
      </c>
      <c r="D145">
        <v>902.65429694029694</v>
      </c>
      <c r="E145">
        <v>50</v>
      </c>
      <c r="F145">
        <v>50</v>
      </c>
      <c r="K145">
        <v>0.61058795862958004</v>
      </c>
      <c r="L145">
        <v>1.7439898241244101</v>
      </c>
      <c r="M145">
        <v>0.28273483271525301</v>
      </c>
      <c r="N145">
        <v>1552</v>
      </c>
      <c r="R145">
        <v>2888311</v>
      </c>
      <c r="T145">
        <v>752396</v>
      </c>
    </row>
    <row r="146" spans="1:20" x14ac:dyDescent="0.3">
      <c r="A146" s="1">
        <v>45358</v>
      </c>
      <c r="B146">
        <v>74</v>
      </c>
      <c r="C146">
        <v>1777.5989177050001</v>
      </c>
      <c r="D146">
        <v>3524.25486326497</v>
      </c>
      <c r="E146">
        <v>27</v>
      </c>
      <c r="F146">
        <v>27</v>
      </c>
      <c r="K146">
        <v>0.63771116844499998</v>
      </c>
      <c r="L146">
        <v>1.65158994920492</v>
      </c>
      <c r="M146">
        <v>0.29575528962820502</v>
      </c>
      <c r="N146">
        <v>5189</v>
      </c>
      <c r="R146">
        <v>669989</v>
      </c>
      <c r="T146">
        <v>3082126</v>
      </c>
    </row>
    <row r="147" spans="1:20" x14ac:dyDescent="0.3">
      <c r="A147" s="1">
        <v>45359</v>
      </c>
      <c r="B147">
        <v>166</v>
      </c>
      <c r="C147">
        <v>2132.7958570012302</v>
      </c>
      <c r="D147">
        <v>8911.0451292308408</v>
      </c>
      <c r="E147">
        <v>100</v>
      </c>
      <c r="F147">
        <v>100</v>
      </c>
      <c r="K147">
        <v>0.62186981756871496</v>
      </c>
      <c r="L147">
        <v>1.61603654482396</v>
      </c>
      <c r="M147">
        <v>0.26719719262751901</v>
      </c>
      <c r="N147">
        <v>12841</v>
      </c>
      <c r="R147">
        <v>1717595</v>
      </c>
      <c r="T147">
        <v>8330794</v>
      </c>
    </row>
    <row r="148" spans="1:20" x14ac:dyDescent="0.3">
      <c r="A148" s="1">
        <v>45360</v>
      </c>
      <c r="C148">
        <v>1570.6791328500001</v>
      </c>
      <c r="D148">
        <v>40.452829911566901</v>
      </c>
      <c r="K148">
        <v>0.375590709615859</v>
      </c>
      <c r="L148">
        <v>0.41447684252045702</v>
      </c>
      <c r="M148">
        <v>0.33555041130243701</v>
      </c>
      <c r="N148">
        <v>167</v>
      </c>
      <c r="T148">
        <v>88389</v>
      </c>
    </row>
    <row r="149" spans="1:20" x14ac:dyDescent="0.3">
      <c r="A149" s="1">
        <v>45361</v>
      </c>
      <c r="B149">
        <v>17</v>
      </c>
      <c r="C149">
        <v>1590.87380321052</v>
      </c>
      <c r="D149">
        <v>575.54772763107496</v>
      </c>
      <c r="E149">
        <v>1</v>
      </c>
      <c r="F149">
        <v>1</v>
      </c>
      <c r="K149">
        <v>0.358644157276722</v>
      </c>
      <c r="L149">
        <v>1.3032086604397899</v>
      </c>
      <c r="M149">
        <v>0.29360924935814697</v>
      </c>
      <c r="N149">
        <v>1172</v>
      </c>
      <c r="T149">
        <v>450515</v>
      </c>
    </row>
    <row r="150" spans="1:20" x14ac:dyDescent="0.3">
      <c r="A150" s="1">
        <v>45362</v>
      </c>
      <c r="B150">
        <v>137</v>
      </c>
      <c r="C150">
        <v>1968.17897839688</v>
      </c>
      <c r="D150">
        <v>6457.5341438557398</v>
      </c>
      <c r="E150">
        <v>33</v>
      </c>
      <c r="F150">
        <v>33</v>
      </c>
      <c r="K150">
        <v>0.59272366112666897</v>
      </c>
      <c r="L150">
        <v>1.6473765598507399</v>
      </c>
      <c r="M150">
        <v>0.25011158278656997</v>
      </c>
      <c r="N150">
        <v>9730</v>
      </c>
      <c r="R150">
        <v>778317</v>
      </c>
      <c r="T150">
        <v>6383693</v>
      </c>
    </row>
    <row r="151" spans="1:20" x14ac:dyDescent="0.3">
      <c r="A151" s="1">
        <v>45363</v>
      </c>
      <c r="B151">
        <v>56</v>
      </c>
      <c r="C151">
        <v>1728.9716821884001</v>
      </c>
      <c r="D151">
        <v>2022.7437783681501</v>
      </c>
      <c r="E151">
        <v>18</v>
      </c>
      <c r="F151">
        <v>18</v>
      </c>
      <c r="K151">
        <v>0.75782672668447604</v>
      </c>
      <c r="L151">
        <v>1.5682612110904</v>
      </c>
      <c r="M151">
        <v>0.315358082643936</v>
      </c>
      <c r="N151">
        <v>3214</v>
      </c>
      <c r="R151">
        <v>855808</v>
      </c>
      <c r="T151">
        <v>2011374</v>
      </c>
    </row>
    <row r="152" spans="1:20" x14ac:dyDescent="0.3">
      <c r="A152" s="1">
        <v>45364</v>
      </c>
      <c r="B152">
        <v>82</v>
      </c>
      <c r="C152">
        <v>1759.7279150136601</v>
      </c>
      <c r="D152">
        <v>3656.72751492835</v>
      </c>
      <c r="E152">
        <v>24</v>
      </c>
      <c r="F152">
        <v>24</v>
      </c>
      <c r="K152">
        <v>0.61009502633444801</v>
      </c>
      <c r="L152">
        <v>1.8420345372073701</v>
      </c>
      <c r="M152">
        <v>0.27385344317288302</v>
      </c>
      <c r="N152">
        <v>5485</v>
      </c>
      <c r="R152">
        <v>771151</v>
      </c>
      <c r="T152">
        <v>2653451</v>
      </c>
    </row>
    <row r="153" spans="1:20" x14ac:dyDescent="0.3">
      <c r="A153" s="1">
        <v>45365</v>
      </c>
      <c r="B153">
        <v>63</v>
      </c>
      <c r="C153">
        <v>1759.5657827463499</v>
      </c>
      <c r="D153">
        <v>1491.5478499915</v>
      </c>
      <c r="E153">
        <v>35</v>
      </c>
      <c r="F153">
        <v>35</v>
      </c>
      <c r="K153">
        <v>0.55068128431422303</v>
      </c>
      <c r="L153">
        <v>1.4331658724507499</v>
      </c>
      <c r="M153">
        <v>0.26098599942946399</v>
      </c>
      <c r="N153">
        <v>2263</v>
      </c>
      <c r="R153">
        <v>1932369</v>
      </c>
      <c r="T153">
        <v>1408347</v>
      </c>
    </row>
    <row r="154" spans="1:20" x14ac:dyDescent="0.3">
      <c r="A154" s="1">
        <v>45366</v>
      </c>
      <c r="C154">
        <v>1565.75</v>
      </c>
      <c r="N154">
        <v>48</v>
      </c>
    </row>
    <row r="155" spans="1:20" x14ac:dyDescent="0.3">
      <c r="A155" s="1">
        <v>45367</v>
      </c>
      <c r="B155">
        <v>131</v>
      </c>
      <c r="C155">
        <v>1987.5666719933499</v>
      </c>
      <c r="D155">
        <v>6259.4946061375804</v>
      </c>
      <c r="E155">
        <v>69</v>
      </c>
      <c r="F155">
        <v>69</v>
      </c>
      <c r="K155">
        <v>0.75092242022712496</v>
      </c>
      <c r="L155">
        <v>1.6170565803788799</v>
      </c>
      <c r="M155">
        <v>0.256866709120954</v>
      </c>
      <c r="N155">
        <v>9146</v>
      </c>
      <c r="R155">
        <v>1622908</v>
      </c>
      <c r="T155">
        <v>5827861</v>
      </c>
    </row>
    <row r="156" spans="1:20" x14ac:dyDescent="0.3">
      <c r="A156" s="1">
        <v>45368</v>
      </c>
      <c r="B156">
        <v>109</v>
      </c>
      <c r="C156">
        <v>1813.8673221521501</v>
      </c>
      <c r="D156">
        <v>4876.6013490237201</v>
      </c>
      <c r="E156">
        <v>64</v>
      </c>
      <c r="F156">
        <v>64</v>
      </c>
      <c r="K156">
        <v>0.49884281417880999</v>
      </c>
      <c r="L156">
        <v>1.8406209720736799</v>
      </c>
      <c r="M156">
        <v>0.25011158278656997</v>
      </c>
      <c r="N156">
        <v>7221</v>
      </c>
      <c r="R156">
        <v>1393792</v>
      </c>
      <c r="T156">
        <v>2958209</v>
      </c>
    </row>
    <row r="157" spans="1:20" x14ac:dyDescent="0.3">
      <c r="A157" s="1">
        <v>45369</v>
      </c>
      <c r="B157">
        <v>70</v>
      </c>
      <c r="C157">
        <v>1829.9042118231</v>
      </c>
      <c r="D157">
        <v>3765.0498611333401</v>
      </c>
      <c r="E157">
        <v>37</v>
      </c>
      <c r="F157">
        <v>37</v>
      </c>
      <c r="K157">
        <v>0.49206216206139503</v>
      </c>
      <c r="L157">
        <v>1.52633407852519</v>
      </c>
      <c r="M157">
        <v>0.25011158278656997</v>
      </c>
      <c r="N157">
        <v>5615</v>
      </c>
      <c r="R157">
        <v>591380</v>
      </c>
      <c r="T157">
        <v>4104147</v>
      </c>
    </row>
    <row r="158" spans="1:20" x14ac:dyDescent="0.3">
      <c r="A158" s="1">
        <v>45370</v>
      </c>
      <c r="B158">
        <v>74</v>
      </c>
      <c r="C158">
        <v>1823.9836912717101</v>
      </c>
      <c r="D158">
        <v>3216.2762954393002</v>
      </c>
      <c r="E158">
        <v>44</v>
      </c>
      <c r="F158">
        <v>44</v>
      </c>
      <c r="K158">
        <v>0.504010240803756</v>
      </c>
      <c r="L158">
        <v>1.8836183849171799</v>
      </c>
      <c r="M158">
        <v>0.25011158278656997</v>
      </c>
      <c r="N158">
        <v>4634</v>
      </c>
      <c r="R158">
        <v>1513916</v>
      </c>
      <c r="T158">
        <v>3011114</v>
      </c>
    </row>
    <row r="159" spans="1:20" x14ac:dyDescent="0.3">
      <c r="A159" s="1">
        <v>45371</v>
      </c>
      <c r="B159">
        <v>36</v>
      </c>
      <c r="C159">
        <v>1678.1587847011599</v>
      </c>
      <c r="D159">
        <v>450.22603489849399</v>
      </c>
      <c r="E159">
        <v>24</v>
      </c>
      <c r="F159">
        <v>24</v>
      </c>
      <c r="K159">
        <v>0.43591328233084498</v>
      </c>
      <c r="L159">
        <v>1.2117645495079901</v>
      </c>
      <c r="M159">
        <v>0.27910747799510999</v>
      </c>
      <c r="N159">
        <v>776</v>
      </c>
      <c r="R159">
        <v>1596201</v>
      </c>
      <c r="T159">
        <v>308183</v>
      </c>
    </row>
    <row r="160" spans="1:20" x14ac:dyDescent="0.3">
      <c r="A160" s="1">
        <v>45372</v>
      </c>
      <c r="B160">
        <v>70</v>
      </c>
      <c r="C160">
        <v>1794.0496118714</v>
      </c>
      <c r="D160">
        <v>3670.4053115537699</v>
      </c>
      <c r="E160">
        <v>22</v>
      </c>
      <c r="F160">
        <v>22</v>
      </c>
      <c r="K160">
        <v>0.37205597246988198</v>
      </c>
      <c r="L160">
        <v>1.4558545513116301</v>
      </c>
      <c r="M160">
        <v>0.25011158278656997</v>
      </c>
      <c r="N160">
        <v>5483</v>
      </c>
      <c r="T160">
        <v>4093827</v>
      </c>
    </row>
    <row r="161" spans="1:21" x14ac:dyDescent="0.3">
      <c r="A161" s="1">
        <v>45373</v>
      </c>
      <c r="B161">
        <v>111</v>
      </c>
      <c r="C161">
        <v>1846.25297878735</v>
      </c>
      <c r="D161">
        <v>5855.8187567600298</v>
      </c>
      <c r="E161">
        <v>25</v>
      </c>
      <c r="F161">
        <v>25</v>
      </c>
      <c r="K161">
        <v>0.56424506418332698</v>
      </c>
      <c r="L161">
        <v>1.60629718994143</v>
      </c>
      <c r="M161">
        <v>0.25011158278656997</v>
      </c>
      <c r="N161">
        <v>8958</v>
      </c>
      <c r="T161">
        <v>4797665</v>
      </c>
      <c r="U161">
        <v>101422</v>
      </c>
    </row>
    <row r="162" spans="1:21" x14ac:dyDescent="0.3">
      <c r="A162" s="1">
        <v>45374</v>
      </c>
      <c r="B162">
        <v>121</v>
      </c>
      <c r="C162">
        <v>1889.0073175838099</v>
      </c>
      <c r="D162">
        <v>5126.3332078742997</v>
      </c>
      <c r="E162">
        <v>19</v>
      </c>
      <c r="F162">
        <v>19</v>
      </c>
      <c r="K162">
        <v>0.45863054936922498</v>
      </c>
      <c r="L162">
        <v>1.47382080026692</v>
      </c>
      <c r="M162">
        <v>0.25011158278656997</v>
      </c>
      <c r="N162">
        <v>7938</v>
      </c>
      <c r="T162">
        <v>5796593</v>
      </c>
    </row>
    <row r="163" spans="1:21" x14ac:dyDescent="0.3">
      <c r="A163" s="1">
        <v>45375</v>
      </c>
      <c r="B163">
        <v>139</v>
      </c>
      <c r="C163">
        <v>1807.57074061556</v>
      </c>
      <c r="D163">
        <v>4734.4127554066699</v>
      </c>
      <c r="E163">
        <v>27</v>
      </c>
      <c r="F163">
        <v>27</v>
      </c>
      <c r="K163">
        <v>0.62968417998110104</v>
      </c>
      <c r="L163">
        <v>2.0005791572073002</v>
      </c>
      <c r="M163">
        <v>0.25039043860663202</v>
      </c>
      <c r="N163">
        <v>7426</v>
      </c>
      <c r="R163">
        <v>1180589</v>
      </c>
      <c r="T163">
        <v>3060750</v>
      </c>
    </row>
    <row r="164" spans="1:21" x14ac:dyDescent="0.3">
      <c r="A164" s="1">
        <v>45376</v>
      </c>
      <c r="B164">
        <v>91</v>
      </c>
      <c r="C164">
        <v>1757.4230907799799</v>
      </c>
      <c r="D164">
        <v>4315.6812755519604</v>
      </c>
      <c r="E164">
        <v>22</v>
      </c>
      <c r="F164">
        <v>22</v>
      </c>
      <c r="K164">
        <v>0.39279579683919402</v>
      </c>
      <c r="L164">
        <v>1.52470437484521</v>
      </c>
      <c r="M164">
        <v>0.25011158278656997</v>
      </c>
      <c r="N164">
        <v>6658</v>
      </c>
      <c r="T164">
        <v>3437049</v>
      </c>
    </row>
    <row r="165" spans="1:21" x14ac:dyDescent="0.3">
      <c r="A165" s="1">
        <v>45377</v>
      </c>
      <c r="B165">
        <v>112</v>
      </c>
      <c r="C165">
        <v>1672.8812301452299</v>
      </c>
      <c r="D165">
        <v>4404.27676678014</v>
      </c>
      <c r="E165">
        <v>2</v>
      </c>
      <c r="F165">
        <v>2</v>
      </c>
      <c r="K165">
        <v>0.45518855368781402</v>
      </c>
      <c r="L165">
        <v>1.4374392752776499</v>
      </c>
      <c r="M165">
        <v>0.25011158278656997</v>
      </c>
      <c r="N165">
        <v>7122</v>
      </c>
      <c r="T165">
        <v>1730186</v>
      </c>
      <c r="U165">
        <v>83347</v>
      </c>
    </row>
    <row r="166" spans="1:21" x14ac:dyDescent="0.3">
      <c r="A166" s="1">
        <v>45378</v>
      </c>
      <c r="B166">
        <v>64</v>
      </c>
      <c r="C166">
        <v>1715.1011619831099</v>
      </c>
      <c r="D166">
        <v>2679.8083238980998</v>
      </c>
      <c r="E166">
        <v>6</v>
      </c>
      <c r="F166">
        <v>6</v>
      </c>
      <c r="K166">
        <v>0.70221254133041</v>
      </c>
      <c r="L166">
        <v>1.52686302191458</v>
      </c>
      <c r="M166">
        <v>0.26098599942946399</v>
      </c>
      <c r="N166">
        <v>4163</v>
      </c>
      <c r="T166">
        <v>2678139</v>
      </c>
    </row>
    <row r="167" spans="1:21" x14ac:dyDescent="0.3">
      <c r="A167" s="1">
        <v>45379</v>
      </c>
      <c r="B167">
        <v>104</v>
      </c>
      <c r="C167">
        <v>1872.6756424647899</v>
      </c>
      <c r="D167">
        <v>4798.4851120466901</v>
      </c>
      <c r="E167">
        <v>24</v>
      </c>
      <c r="F167">
        <v>24</v>
      </c>
      <c r="K167">
        <v>0.50378486269853595</v>
      </c>
      <c r="L167">
        <v>1.4138008911842499</v>
      </c>
      <c r="M167">
        <v>0.271860416072358</v>
      </c>
      <c r="N167">
        <v>7275</v>
      </c>
      <c r="T167">
        <v>5503738</v>
      </c>
    </row>
    <row r="168" spans="1:21" x14ac:dyDescent="0.3">
      <c r="A168" s="1">
        <v>45380</v>
      </c>
      <c r="B168">
        <v>29</v>
      </c>
      <c r="C168">
        <v>1612.4930448503301</v>
      </c>
      <c r="D168">
        <v>1319.82978762836</v>
      </c>
      <c r="K168">
        <v>0.326405415251249</v>
      </c>
      <c r="L168">
        <v>1.0301217159234299</v>
      </c>
      <c r="M168">
        <v>0.25011158278656997</v>
      </c>
      <c r="N168">
        <v>2272</v>
      </c>
      <c r="T168">
        <v>838187</v>
      </c>
    </row>
    <row r="169" spans="1:21" x14ac:dyDescent="0.3">
      <c r="A169" s="1">
        <v>45381</v>
      </c>
      <c r="B169">
        <v>143</v>
      </c>
      <c r="C169">
        <v>2022.4388479008101</v>
      </c>
      <c r="D169">
        <v>7981.6366684866898</v>
      </c>
      <c r="E169">
        <v>45</v>
      </c>
      <c r="F169">
        <v>45</v>
      </c>
      <c r="K169">
        <v>0.45259431454134202</v>
      </c>
      <c r="L169">
        <v>1.4903987264051799</v>
      </c>
      <c r="M169">
        <v>0.258741492548903</v>
      </c>
      <c r="N169">
        <v>12007</v>
      </c>
      <c r="T169">
        <v>8189265</v>
      </c>
    </row>
    <row r="170" spans="1:21" x14ac:dyDescent="0.3">
      <c r="A170" s="1">
        <v>45382</v>
      </c>
      <c r="B170">
        <v>43</v>
      </c>
      <c r="C170">
        <v>1660.3552234143499</v>
      </c>
      <c r="D170">
        <v>2068.9095739945401</v>
      </c>
      <c r="E170">
        <v>8</v>
      </c>
      <c r="F170">
        <v>8</v>
      </c>
      <c r="K170">
        <v>0.39544008479742898</v>
      </c>
      <c r="L170">
        <v>1.7290868586117001</v>
      </c>
      <c r="M170">
        <v>0.26970504912142801</v>
      </c>
      <c r="N170">
        <v>3070</v>
      </c>
      <c r="T170">
        <v>1696444</v>
      </c>
    </row>
    <row r="171" spans="1:21" x14ac:dyDescent="0.3">
      <c r="A171" s="1">
        <v>45383</v>
      </c>
      <c r="B171">
        <v>163</v>
      </c>
      <c r="C171">
        <v>2035.1266850065299</v>
      </c>
      <c r="D171">
        <v>5892.18855232643</v>
      </c>
      <c r="E171">
        <v>67</v>
      </c>
      <c r="F171">
        <v>67</v>
      </c>
      <c r="K171">
        <v>0.54556009669096905</v>
      </c>
      <c r="L171">
        <v>1.76059628710148</v>
      </c>
      <c r="M171">
        <v>0.25011158278656997</v>
      </c>
      <c r="N171">
        <v>8931</v>
      </c>
      <c r="R171">
        <v>2734121</v>
      </c>
      <c r="T171">
        <v>5251945</v>
      </c>
      <c r="U171">
        <v>101582</v>
      </c>
    </row>
    <row r="172" spans="1:21" x14ac:dyDescent="0.3">
      <c r="A172" s="1">
        <v>45384</v>
      </c>
      <c r="B172">
        <v>98</v>
      </c>
      <c r="C172">
        <v>1953.53509749058</v>
      </c>
      <c r="D172">
        <v>3766.55132551212</v>
      </c>
      <c r="E172">
        <v>35</v>
      </c>
      <c r="F172">
        <v>35</v>
      </c>
      <c r="K172">
        <v>0.48085508559906198</v>
      </c>
      <c r="L172">
        <v>1.5195432577674499</v>
      </c>
      <c r="M172">
        <v>0.271860416072358</v>
      </c>
      <c r="N172">
        <v>5958</v>
      </c>
      <c r="R172">
        <v>1429863</v>
      </c>
      <c r="T172">
        <v>5424118</v>
      </c>
    </row>
    <row r="173" spans="1:21" x14ac:dyDescent="0.3">
      <c r="A173" s="1">
        <v>45385</v>
      </c>
      <c r="B173">
        <v>100</v>
      </c>
      <c r="C173">
        <v>1947.78442956653</v>
      </c>
      <c r="D173">
        <v>4259.5833151839797</v>
      </c>
      <c r="E173">
        <v>49</v>
      </c>
      <c r="F173">
        <v>49</v>
      </c>
      <c r="K173">
        <v>0.72238850809571797</v>
      </c>
      <c r="L173">
        <v>1.6355298289058799</v>
      </c>
      <c r="M173">
        <v>0.25011158278656997</v>
      </c>
      <c r="N173">
        <v>6294</v>
      </c>
      <c r="R173">
        <v>1667426</v>
      </c>
      <c r="T173">
        <v>5066869</v>
      </c>
    </row>
    <row r="174" spans="1:21" x14ac:dyDescent="0.3">
      <c r="A174" s="1">
        <v>45386</v>
      </c>
      <c r="B174">
        <v>88</v>
      </c>
      <c r="C174">
        <v>1832.37786353008</v>
      </c>
      <c r="D174">
        <v>2709.4588354543198</v>
      </c>
      <c r="E174">
        <v>41</v>
      </c>
      <c r="F174">
        <v>41</v>
      </c>
      <c r="K174">
        <v>0.75913871840907199</v>
      </c>
      <c r="L174">
        <v>1.7193794199366601</v>
      </c>
      <c r="M174">
        <v>0.25011158278656997</v>
      </c>
      <c r="N174">
        <v>4065</v>
      </c>
      <c r="R174">
        <v>2205006</v>
      </c>
      <c r="T174">
        <v>2419700</v>
      </c>
    </row>
    <row r="175" spans="1:21" x14ac:dyDescent="0.3">
      <c r="A175" s="1">
        <v>45387</v>
      </c>
      <c r="B175">
        <v>140</v>
      </c>
      <c r="C175">
        <v>2019.3594531026899</v>
      </c>
      <c r="D175">
        <v>7197.1960725742902</v>
      </c>
      <c r="E175">
        <v>79</v>
      </c>
      <c r="F175">
        <v>79</v>
      </c>
      <c r="K175">
        <v>0.83141630063048999</v>
      </c>
      <c r="L175">
        <v>2.2357109077817698</v>
      </c>
      <c r="M175">
        <v>0.260047105367822</v>
      </c>
      <c r="N175">
        <v>10444</v>
      </c>
      <c r="R175">
        <v>1794776</v>
      </c>
      <c r="T175">
        <v>6214111</v>
      </c>
    </row>
    <row r="176" spans="1:21" x14ac:dyDescent="0.3">
      <c r="A176" s="1">
        <v>45388</v>
      </c>
      <c r="B176">
        <v>113</v>
      </c>
      <c r="C176">
        <v>1975.46533615044</v>
      </c>
      <c r="D176">
        <v>4396.5424257284503</v>
      </c>
      <c r="E176">
        <v>58</v>
      </c>
      <c r="F176">
        <v>58</v>
      </c>
      <c r="K176">
        <v>0.71983134870399701</v>
      </c>
      <c r="L176">
        <v>1.55200871195373</v>
      </c>
      <c r="M176">
        <v>0.25011158278656997</v>
      </c>
      <c r="N176">
        <v>6581</v>
      </c>
      <c r="R176">
        <v>2106133</v>
      </c>
      <c r="T176">
        <v>5093939</v>
      </c>
    </row>
    <row r="177" spans="1:21" x14ac:dyDescent="0.3">
      <c r="A177" s="1">
        <v>45389</v>
      </c>
      <c r="B177">
        <v>90</v>
      </c>
      <c r="C177">
        <v>1799.88642160218</v>
      </c>
      <c r="D177">
        <v>3549.09755266402</v>
      </c>
      <c r="E177">
        <v>29</v>
      </c>
      <c r="F177">
        <v>29</v>
      </c>
      <c r="K177">
        <v>0.52494850896075296</v>
      </c>
      <c r="L177">
        <v>1.60652276665958</v>
      </c>
      <c r="M177">
        <v>0.25011158278656997</v>
      </c>
      <c r="N177">
        <v>5713</v>
      </c>
      <c r="R177">
        <v>1189845</v>
      </c>
      <c r="T177">
        <v>2925674</v>
      </c>
    </row>
    <row r="178" spans="1:21" x14ac:dyDescent="0.3">
      <c r="A178" s="1">
        <v>45390</v>
      </c>
      <c r="B178">
        <v>97</v>
      </c>
      <c r="C178">
        <v>1836.4245200937801</v>
      </c>
      <c r="D178">
        <v>4513.3642328568603</v>
      </c>
      <c r="E178">
        <v>39</v>
      </c>
      <c r="F178">
        <v>39</v>
      </c>
      <c r="K178">
        <v>0.44446678997703098</v>
      </c>
      <c r="L178">
        <v>1.55944042341571</v>
      </c>
      <c r="M178">
        <v>0.25011158278656997</v>
      </c>
      <c r="N178">
        <v>6834</v>
      </c>
      <c r="R178">
        <v>998897</v>
      </c>
      <c r="T178">
        <v>3784936</v>
      </c>
    </row>
    <row r="179" spans="1:21" x14ac:dyDescent="0.3">
      <c r="A179" s="1">
        <v>45391</v>
      </c>
      <c r="B179">
        <v>184</v>
      </c>
      <c r="C179">
        <v>2128.5361014831701</v>
      </c>
      <c r="D179">
        <v>9809.2024040259803</v>
      </c>
      <c r="E179">
        <v>78</v>
      </c>
      <c r="F179">
        <v>78</v>
      </c>
      <c r="K179">
        <v>0.65832720622737995</v>
      </c>
      <c r="L179">
        <v>2.0092536389824001</v>
      </c>
      <c r="M179">
        <v>0.25011158278656997</v>
      </c>
      <c r="N179">
        <v>14103</v>
      </c>
      <c r="R179">
        <v>975911</v>
      </c>
      <c r="T179">
        <v>9047814</v>
      </c>
    </row>
    <row r="180" spans="1:21" x14ac:dyDescent="0.3">
      <c r="A180" s="1">
        <v>45392</v>
      </c>
      <c r="B180">
        <v>142</v>
      </c>
      <c r="C180">
        <v>1950.7333828309399</v>
      </c>
      <c r="D180">
        <v>6447.5038072375601</v>
      </c>
      <c r="E180">
        <v>28</v>
      </c>
      <c r="F180">
        <v>28</v>
      </c>
      <c r="K180">
        <v>0.51585902563916597</v>
      </c>
      <c r="L180">
        <v>1.8371026098894101</v>
      </c>
      <c r="M180">
        <v>0.24885201843049301</v>
      </c>
      <c r="N180">
        <v>9634</v>
      </c>
      <c r="T180">
        <v>6903453</v>
      </c>
    </row>
    <row r="181" spans="1:21" x14ac:dyDescent="0.3">
      <c r="A181" s="1">
        <v>45393</v>
      </c>
      <c r="B181">
        <v>112</v>
      </c>
      <c r="C181">
        <v>1730.26671297441</v>
      </c>
      <c r="D181">
        <v>5949.0666398819503</v>
      </c>
      <c r="E181">
        <v>36</v>
      </c>
      <c r="F181">
        <v>36</v>
      </c>
      <c r="K181">
        <v>0.66832681063363897</v>
      </c>
      <c r="L181">
        <v>1.5917025545377901</v>
      </c>
      <c r="M181">
        <v>0.26942355876926999</v>
      </c>
      <c r="N181">
        <v>8788</v>
      </c>
      <c r="T181">
        <v>2950084</v>
      </c>
    </row>
    <row r="182" spans="1:21" x14ac:dyDescent="0.3">
      <c r="A182" s="1">
        <v>45394</v>
      </c>
      <c r="B182">
        <v>164</v>
      </c>
      <c r="C182">
        <v>1817.84051746154</v>
      </c>
      <c r="D182">
        <v>6844.3681986048095</v>
      </c>
      <c r="E182">
        <v>50</v>
      </c>
      <c r="F182">
        <v>50</v>
      </c>
      <c r="K182">
        <v>0.48674466760232399</v>
      </c>
      <c r="L182">
        <v>1.7230778069608299</v>
      </c>
      <c r="M182">
        <v>0.30448366600104099</v>
      </c>
      <c r="N182">
        <v>10254</v>
      </c>
      <c r="R182">
        <v>1098409</v>
      </c>
      <c r="T182">
        <v>3345437</v>
      </c>
    </row>
    <row r="183" spans="1:21" x14ac:dyDescent="0.3">
      <c r="A183" s="1">
        <v>45395</v>
      </c>
      <c r="B183">
        <v>182</v>
      </c>
      <c r="C183">
        <v>1844.10065600705</v>
      </c>
      <c r="D183">
        <v>6916.3262082812798</v>
      </c>
      <c r="E183">
        <v>39</v>
      </c>
      <c r="F183">
        <v>39</v>
      </c>
      <c r="K183">
        <v>0.45570301048442402</v>
      </c>
      <c r="L183">
        <v>1.5145058658783801</v>
      </c>
      <c r="M183">
        <v>0.25011158278656997</v>
      </c>
      <c r="N183">
        <v>10460</v>
      </c>
      <c r="R183">
        <v>1058574</v>
      </c>
      <c r="T183">
        <v>3858940</v>
      </c>
    </row>
    <row r="184" spans="1:21" x14ac:dyDescent="0.3">
      <c r="A184" s="1">
        <v>45396</v>
      </c>
      <c r="B184">
        <v>191</v>
      </c>
      <c r="C184">
        <v>2040.9425625875299</v>
      </c>
      <c r="D184">
        <v>6829.9714782052297</v>
      </c>
      <c r="E184">
        <v>52</v>
      </c>
      <c r="F184">
        <v>51</v>
      </c>
      <c r="K184">
        <v>0.54782295519271496</v>
      </c>
      <c r="L184">
        <v>1.9649195744654799</v>
      </c>
      <c r="M184">
        <v>0.25011158278656997</v>
      </c>
      <c r="N184">
        <v>10446</v>
      </c>
      <c r="R184">
        <v>2191881</v>
      </c>
      <c r="T184">
        <v>6176340</v>
      </c>
    </row>
    <row r="185" spans="1:21" x14ac:dyDescent="0.3">
      <c r="A185" s="1">
        <v>45397</v>
      </c>
      <c r="B185">
        <v>189</v>
      </c>
      <c r="C185">
        <v>1940.27091678484</v>
      </c>
      <c r="D185">
        <v>8136.7541955991201</v>
      </c>
      <c r="E185">
        <v>23</v>
      </c>
      <c r="F185">
        <v>23</v>
      </c>
      <c r="K185">
        <v>0.481784309845596</v>
      </c>
      <c r="L185">
        <v>1.8349707775834301</v>
      </c>
      <c r="M185">
        <v>0.25011158278656997</v>
      </c>
      <c r="N185">
        <v>12373</v>
      </c>
      <c r="T185">
        <v>6715845</v>
      </c>
    </row>
    <row r="186" spans="1:21" x14ac:dyDescent="0.3">
      <c r="A186" s="1">
        <v>45398</v>
      </c>
      <c r="B186">
        <v>365</v>
      </c>
      <c r="C186">
        <v>2443.7294607139802</v>
      </c>
      <c r="D186">
        <v>16245.395246894201</v>
      </c>
      <c r="E186">
        <v>76</v>
      </c>
      <c r="F186">
        <v>75</v>
      </c>
      <c r="K186">
        <v>0.575144193429724</v>
      </c>
      <c r="L186">
        <v>1.76518949642601</v>
      </c>
      <c r="M186">
        <v>0.25011158278656997</v>
      </c>
      <c r="N186">
        <v>24575</v>
      </c>
      <c r="R186">
        <v>727094</v>
      </c>
      <c r="T186">
        <v>14965979</v>
      </c>
    </row>
    <row r="187" spans="1:21" x14ac:dyDescent="0.3">
      <c r="A187" s="1">
        <v>45399</v>
      </c>
      <c r="B187">
        <v>317</v>
      </c>
      <c r="C187">
        <v>2474.3430017455298</v>
      </c>
      <c r="D187">
        <v>15011.596932539</v>
      </c>
      <c r="E187">
        <v>116</v>
      </c>
      <c r="F187">
        <v>113</v>
      </c>
      <c r="K187">
        <v>0.65635564302087002</v>
      </c>
      <c r="L187">
        <v>1.9072488743132301</v>
      </c>
      <c r="M187">
        <v>0.247287269395779</v>
      </c>
      <c r="N187">
        <v>22429</v>
      </c>
      <c r="R187">
        <v>2835632</v>
      </c>
      <c r="T187">
        <v>13068382</v>
      </c>
      <c r="U187">
        <v>83391</v>
      </c>
    </row>
    <row r="188" spans="1:21" x14ac:dyDescent="0.3">
      <c r="A188" s="1">
        <v>45400</v>
      </c>
      <c r="B188">
        <v>357</v>
      </c>
      <c r="C188">
        <v>2411.8676630059399</v>
      </c>
      <c r="D188">
        <v>16674.695757477199</v>
      </c>
      <c r="E188">
        <v>69</v>
      </c>
      <c r="F188">
        <v>69</v>
      </c>
      <c r="K188">
        <v>0.65616854478086795</v>
      </c>
      <c r="L188">
        <v>1.7423823698268599</v>
      </c>
      <c r="M188">
        <v>0.25011158278656997</v>
      </c>
      <c r="N188">
        <v>24893</v>
      </c>
      <c r="R188">
        <v>537394</v>
      </c>
      <c r="T188">
        <v>14597563</v>
      </c>
    </row>
    <row r="189" spans="1:21" x14ac:dyDescent="0.3">
      <c r="A189" s="1">
        <v>45401</v>
      </c>
      <c r="B189">
        <v>36</v>
      </c>
      <c r="C189">
        <v>1655.0635681235899</v>
      </c>
      <c r="D189">
        <v>2070.74728979061</v>
      </c>
      <c r="E189">
        <v>16</v>
      </c>
      <c r="F189">
        <v>16</v>
      </c>
      <c r="K189">
        <v>0.34896216313702699</v>
      </c>
      <c r="L189">
        <v>1.4373408934060601</v>
      </c>
      <c r="M189">
        <v>0.26225746049381599</v>
      </c>
      <c r="N189">
        <v>3060</v>
      </c>
      <c r="T189">
        <v>1601554</v>
      </c>
    </row>
    <row r="190" spans="1:21" x14ac:dyDescent="0.3">
      <c r="A190" s="1">
        <v>45402</v>
      </c>
      <c r="B190">
        <v>29</v>
      </c>
      <c r="C190">
        <v>1657.6569353223199</v>
      </c>
      <c r="D190">
        <v>1309.7392689123601</v>
      </c>
      <c r="E190">
        <v>1</v>
      </c>
      <c r="F190">
        <v>1</v>
      </c>
      <c r="K190">
        <v>0.497212959256911</v>
      </c>
      <c r="L190">
        <v>1.51035011344736</v>
      </c>
      <c r="M190">
        <v>0.271860416072358</v>
      </c>
      <c r="N190">
        <v>2167</v>
      </c>
      <c r="T190">
        <v>1648060</v>
      </c>
    </row>
    <row r="191" spans="1:21" x14ac:dyDescent="0.3">
      <c r="A191" s="1">
        <v>45403</v>
      </c>
      <c r="B191">
        <v>2</v>
      </c>
      <c r="C191">
        <v>1565.75</v>
      </c>
      <c r="D191">
        <v>130.49299971473201</v>
      </c>
      <c r="K191">
        <v>0.315838981017172</v>
      </c>
      <c r="L191">
        <v>0.32623249242254099</v>
      </c>
      <c r="M191">
        <v>0.271860416072358</v>
      </c>
      <c r="N191">
        <v>282</v>
      </c>
    </row>
    <row r="192" spans="1:21" x14ac:dyDescent="0.3">
      <c r="A192" s="1">
        <v>45404</v>
      </c>
      <c r="B192">
        <v>97</v>
      </c>
      <c r="C192">
        <v>1904.6555375205</v>
      </c>
      <c r="D192">
        <v>5033.5589322153801</v>
      </c>
      <c r="E192">
        <v>44</v>
      </c>
      <c r="F192">
        <v>44</v>
      </c>
      <c r="K192">
        <v>0.624378189633362</v>
      </c>
      <c r="L192">
        <v>1.67586041537987</v>
      </c>
      <c r="M192">
        <v>0.26741072199884403</v>
      </c>
      <c r="N192">
        <v>7428</v>
      </c>
      <c r="R192">
        <v>813710</v>
      </c>
      <c r="T192">
        <v>5206742</v>
      </c>
    </row>
    <row r="193" spans="1:21" x14ac:dyDescent="0.3">
      <c r="A193" s="1">
        <v>45405</v>
      </c>
      <c r="B193">
        <v>141</v>
      </c>
      <c r="C193">
        <v>2019.25591547318</v>
      </c>
      <c r="D193">
        <v>6277.8621878599897</v>
      </c>
      <c r="E193">
        <v>44</v>
      </c>
      <c r="F193">
        <v>44</v>
      </c>
      <c r="K193">
        <v>0.64562753059311795</v>
      </c>
      <c r="L193">
        <v>1.7496536734352</v>
      </c>
      <c r="M193">
        <v>0.245343717096866</v>
      </c>
      <c r="N193">
        <v>9635</v>
      </c>
      <c r="R193">
        <v>1276340</v>
      </c>
      <c r="T193">
        <v>6766845</v>
      </c>
    </row>
    <row r="194" spans="1:21" x14ac:dyDescent="0.3">
      <c r="A194" s="1">
        <v>45406</v>
      </c>
      <c r="B194">
        <v>87</v>
      </c>
      <c r="C194">
        <v>1798.0341412814701</v>
      </c>
      <c r="D194">
        <v>3687.7377873126302</v>
      </c>
      <c r="E194">
        <v>22</v>
      </c>
      <c r="F194">
        <v>22</v>
      </c>
      <c r="K194">
        <v>0.53052359386306502</v>
      </c>
      <c r="L194">
        <v>1.5069277073379601</v>
      </c>
      <c r="M194">
        <v>0.26007648201105998</v>
      </c>
      <c r="N194">
        <v>5579</v>
      </c>
      <c r="R194">
        <v>699051</v>
      </c>
      <c r="T194">
        <v>3417477</v>
      </c>
    </row>
    <row r="195" spans="1:21" x14ac:dyDescent="0.3">
      <c r="A195" s="1">
        <v>45407</v>
      </c>
      <c r="B195">
        <v>95</v>
      </c>
      <c r="C195">
        <v>1850.5960893172401</v>
      </c>
      <c r="D195">
        <v>4428.0109623901799</v>
      </c>
      <c r="E195">
        <v>34</v>
      </c>
      <c r="F195">
        <v>34</v>
      </c>
      <c r="K195">
        <v>0.69147267645036703</v>
      </c>
      <c r="L195">
        <v>1.72188778802534</v>
      </c>
      <c r="M195">
        <v>0.25930887649888701</v>
      </c>
      <c r="N195">
        <v>6592</v>
      </c>
      <c r="R195">
        <v>765913</v>
      </c>
      <c r="T195">
        <v>4288486</v>
      </c>
    </row>
    <row r="196" spans="1:21" x14ac:dyDescent="0.3">
      <c r="A196" s="1">
        <v>45408</v>
      </c>
      <c r="B196">
        <v>65</v>
      </c>
      <c r="C196">
        <v>1727.52643276866</v>
      </c>
      <c r="D196">
        <v>3825.5788220546501</v>
      </c>
      <c r="E196">
        <v>16</v>
      </c>
      <c r="F196">
        <v>16</v>
      </c>
      <c r="K196">
        <v>0.62863600993329105</v>
      </c>
      <c r="L196">
        <v>1.64326090860392</v>
      </c>
      <c r="M196">
        <v>0.26824432791060598</v>
      </c>
      <c r="N196">
        <v>5720</v>
      </c>
      <c r="T196">
        <v>2900946</v>
      </c>
    </row>
    <row r="197" spans="1:21" x14ac:dyDescent="0.3">
      <c r="A197" s="1">
        <v>45409</v>
      </c>
      <c r="B197">
        <v>210</v>
      </c>
      <c r="C197">
        <v>2293.2523037511201</v>
      </c>
      <c r="D197">
        <v>8834.9063836639998</v>
      </c>
      <c r="E197">
        <v>94</v>
      </c>
      <c r="F197">
        <v>94</v>
      </c>
      <c r="K197">
        <v>0.663409260611595</v>
      </c>
      <c r="L197">
        <v>1.67768716984333</v>
      </c>
      <c r="M197">
        <v>0.28961364991487398</v>
      </c>
      <c r="N197">
        <v>13001</v>
      </c>
      <c r="R197">
        <v>2963351</v>
      </c>
      <c r="T197">
        <v>9470062</v>
      </c>
      <c r="U197">
        <v>177015</v>
      </c>
    </row>
    <row r="198" spans="1:21" x14ac:dyDescent="0.3">
      <c r="A198" s="1">
        <v>45410</v>
      </c>
      <c r="B198">
        <v>118</v>
      </c>
      <c r="C198">
        <v>1948.91322133313</v>
      </c>
      <c r="D198">
        <v>3665.9483794623102</v>
      </c>
      <c r="E198">
        <v>60</v>
      </c>
      <c r="F198">
        <v>60</v>
      </c>
      <c r="K198">
        <v>0.53709561725170596</v>
      </c>
      <c r="L198">
        <v>1.60628149893613</v>
      </c>
      <c r="M198">
        <v>0.271860416072358</v>
      </c>
      <c r="N198">
        <v>5477</v>
      </c>
      <c r="R198">
        <v>2821105</v>
      </c>
      <c r="T198">
        <v>3852982</v>
      </c>
    </row>
    <row r="199" spans="1:21" x14ac:dyDescent="0.3">
      <c r="A199" s="1">
        <v>45411</v>
      </c>
      <c r="B199">
        <v>74</v>
      </c>
      <c r="C199">
        <v>1810.02498611435</v>
      </c>
      <c r="D199">
        <v>2864.7928249967599</v>
      </c>
      <c r="E199">
        <v>31</v>
      </c>
      <c r="F199">
        <v>31</v>
      </c>
      <c r="K199">
        <v>0.39594226336872201</v>
      </c>
      <c r="L199">
        <v>1.6355744831052399</v>
      </c>
      <c r="M199">
        <v>0.24347054557348299</v>
      </c>
      <c r="N199">
        <v>4329</v>
      </c>
      <c r="R199">
        <v>1208254</v>
      </c>
      <c r="T199">
        <v>3087784</v>
      </c>
    </row>
    <row r="200" spans="1:21" x14ac:dyDescent="0.3">
      <c r="A200" s="1">
        <v>45412</v>
      </c>
      <c r="B200">
        <v>137</v>
      </c>
      <c r="C200">
        <v>1975.9758196606299</v>
      </c>
      <c r="D200">
        <v>5378.11148452416</v>
      </c>
      <c r="E200">
        <v>45</v>
      </c>
      <c r="F200">
        <v>45</v>
      </c>
      <c r="K200">
        <v>0.53899395865334698</v>
      </c>
      <c r="L200">
        <v>1.5119015668425699</v>
      </c>
      <c r="M200">
        <v>0.247535506215497</v>
      </c>
      <c r="N200">
        <v>8220</v>
      </c>
      <c r="R200">
        <v>1535533</v>
      </c>
      <c r="T200">
        <v>5713483</v>
      </c>
    </row>
    <row r="201" spans="1:21" x14ac:dyDescent="0.3">
      <c r="A201" s="1">
        <v>45413</v>
      </c>
      <c r="B201">
        <v>114</v>
      </c>
      <c r="C201">
        <v>1925.64043423613</v>
      </c>
      <c r="D201">
        <v>4430.6801646837303</v>
      </c>
      <c r="E201">
        <v>47</v>
      </c>
      <c r="F201">
        <v>47</v>
      </c>
      <c r="K201">
        <v>0.52321466934106498</v>
      </c>
      <c r="L201">
        <v>1.9956048243468001</v>
      </c>
      <c r="M201">
        <v>0.26098599942946399</v>
      </c>
      <c r="N201">
        <v>6741</v>
      </c>
      <c r="R201">
        <v>1800474</v>
      </c>
      <c r="T201">
        <v>4527459</v>
      </c>
    </row>
    <row r="202" spans="1:21" x14ac:dyDescent="0.3">
      <c r="A202" s="1">
        <v>45414</v>
      </c>
      <c r="B202">
        <v>65</v>
      </c>
      <c r="C202">
        <v>1742.07090522116</v>
      </c>
      <c r="D202">
        <v>2409.6753306624801</v>
      </c>
      <c r="E202">
        <v>26</v>
      </c>
      <c r="F202">
        <v>26</v>
      </c>
      <c r="K202">
        <v>0.86522341617477805</v>
      </c>
      <c r="L202">
        <v>1.6752564938519201</v>
      </c>
      <c r="M202">
        <v>0.28544209501183998</v>
      </c>
      <c r="N202">
        <v>3698</v>
      </c>
      <c r="R202">
        <v>849148</v>
      </c>
      <c r="T202">
        <v>2253394</v>
      </c>
    </row>
    <row r="203" spans="1:21" x14ac:dyDescent="0.3">
      <c r="A203" s="1">
        <v>45415</v>
      </c>
      <c r="B203">
        <v>97</v>
      </c>
      <c r="C203">
        <v>1934.7338010016999</v>
      </c>
      <c r="D203">
        <v>4125.3945642537301</v>
      </c>
      <c r="E203">
        <v>40</v>
      </c>
      <c r="F203">
        <v>40</v>
      </c>
      <c r="K203">
        <v>0.70306414427542596</v>
      </c>
      <c r="L203">
        <v>1.4861252962606799</v>
      </c>
      <c r="M203">
        <v>0.247952320289062</v>
      </c>
      <c r="N203">
        <v>6362</v>
      </c>
      <c r="R203">
        <v>1584186</v>
      </c>
      <c r="T203">
        <v>4921894</v>
      </c>
    </row>
    <row r="204" spans="1:21" x14ac:dyDescent="0.3">
      <c r="A204" s="1">
        <v>45416</v>
      </c>
      <c r="B204">
        <v>107</v>
      </c>
      <c r="C204">
        <v>1794.2977582020801</v>
      </c>
      <c r="D204">
        <v>4194.9036130470304</v>
      </c>
      <c r="E204">
        <v>46</v>
      </c>
      <c r="F204">
        <v>46</v>
      </c>
      <c r="K204">
        <v>0.56928579071188101</v>
      </c>
      <c r="L204">
        <v>1.6351771549456999</v>
      </c>
      <c r="M204">
        <v>0.26098599942946399</v>
      </c>
      <c r="N204">
        <v>6451</v>
      </c>
      <c r="R204">
        <v>1593104</v>
      </c>
      <c r="T204">
        <v>2394081</v>
      </c>
    </row>
    <row r="205" spans="1:21" x14ac:dyDescent="0.3">
      <c r="A205" s="1">
        <v>45417</v>
      </c>
      <c r="B205">
        <v>7</v>
      </c>
      <c r="C205">
        <v>1592.28099096354</v>
      </c>
      <c r="D205">
        <v>249.894094453712</v>
      </c>
      <c r="K205">
        <v>0.44962574398970601</v>
      </c>
      <c r="L205">
        <v>0.87022994817631605</v>
      </c>
      <c r="M205">
        <v>0.26098599942946399</v>
      </c>
      <c r="N205">
        <v>466</v>
      </c>
      <c r="T205">
        <v>475749</v>
      </c>
    </row>
    <row r="206" spans="1:21" x14ac:dyDescent="0.3">
      <c r="A206" s="1">
        <v>45418</v>
      </c>
      <c r="B206">
        <v>115</v>
      </c>
      <c r="C206">
        <v>1976.7474011833599</v>
      </c>
      <c r="D206">
        <v>4721.5640758719701</v>
      </c>
      <c r="E206">
        <v>43</v>
      </c>
      <c r="F206">
        <v>43</v>
      </c>
      <c r="K206">
        <v>0.66066933232983105</v>
      </c>
      <c r="L206">
        <v>1.57446778756965</v>
      </c>
      <c r="M206">
        <v>0.25011158278656997</v>
      </c>
      <c r="N206">
        <v>7195</v>
      </c>
      <c r="R206">
        <v>1731858</v>
      </c>
      <c r="T206">
        <v>5517303</v>
      </c>
    </row>
    <row r="207" spans="1:21" x14ac:dyDescent="0.3">
      <c r="A207" s="1">
        <v>45419</v>
      </c>
      <c r="B207">
        <v>71</v>
      </c>
      <c r="C207">
        <v>1757.04315437525</v>
      </c>
      <c r="D207">
        <v>2014.1602553663699</v>
      </c>
      <c r="E207">
        <v>28</v>
      </c>
      <c r="F207">
        <v>28</v>
      </c>
      <c r="K207">
        <v>0.56301421532481499</v>
      </c>
      <c r="L207">
        <v>1.4288124701862399</v>
      </c>
      <c r="M207">
        <v>0.28273483271525301</v>
      </c>
      <c r="N207">
        <v>3163</v>
      </c>
      <c r="R207">
        <v>1689798</v>
      </c>
      <c r="T207">
        <v>1622599</v>
      </c>
    </row>
    <row r="208" spans="1:21" x14ac:dyDescent="0.3">
      <c r="A208" s="1">
        <v>45420</v>
      </c>
      <c r="B208">
        <v>175</v>
      </c>
      <c r="C208">
        <v>2118.1132430611601</v>
      </c>
      <c r="D208">
        <v>9279.2129589931392</v>
      </c>
      <c r="E208">
        <v>73</v>
      </c>
      <c r="F208">
        <v>73</v>
      </c>
      <c r="K208">
        <v>0.61025355441409002</v>
      </c>
      <c r="L208">
        <v>1.67662325210327</v>
      </c>
      <c r="M208">
        <v>0.26098599942946399</v>
      </c>
      <c r="N208">
        <v>13426</v>
      </c>
      <c r="R208">
        <v>812334</v>
      </c>
      <c r="T208">
        <v>9035896</v>
      </c>
    </row>
    <row r="209" spans="1:21" x14ac:dyDescent="0.3">
      <c r="A209" s="1">
        <v>45421</v>
      </c>
      <c r="B209">
        <v>82</v>
      </c>
      <c r="C209">
        <v>1804.2173791927801</v>
      </c>
      <c r="D209">
        <v>3708.6522744173799</v>
      </c>
      <c r="E209">
        <v>23</v>
      </c>
      <c r="F209">
        <v>23</v>
      </c>
      <c r="K209">
        <v>0.53114445451265702</v>
      </c>
      <c r="L209">
        <v>1.4859332370471201</v>
      </c>
      <c r="M209">
        <v>0.26098599942946399</v>
      </c>
      <c r="N209">
        <v>5556</v>
      </c>
      <c r="R209">
        <v>664332</v>
      </c>
      <c r="T209">
        <v>3565496</v>
      </c>
    </row>
    <row r="210" spans="1:21" x14ac:dyDescent="0.3">
      <c r="A210" s="1">
        <v>45422</v>
      </c>
      <c r="B210">
        <v>194</v>
      </c>
      <c r="C210">
        <v>2175.2582612528099</v>
      </c>
      <c r="D210">
        <v>6462.2271022087398</v>
      </c>
      <c r="E210">
        <v>93</v>
      </c>
      <c r="F210">
        <v>93</v>
      </c>
      <c r="K210">
        <v>0.50719513128093596</v>
      </c>
      <c r="L210">
        <v>1.7164827747656899</v>
      </c>
      <c r="M210">
        <v>0.25011158278656997</v>
      </c>
      <c r="N210">
        <v>9536</v>
      </c>
      <c r="R210">
        <v>3832563</v>
      </c>
      <c r="T210">
        <v>6829747</v>
      </c>
    </row>
    <row r="211" spans="1:21" x14ac:dyDescent="0.3">
      <c r="A211" s="1">
        <v>45423</v>
      </c>
      <c r="B211">
        <v>5</v>
      </c>
      <c r="C211">
        <v>1618.75443060763</v>
      </c>
      <c r="D211">
        <v>300.266221293667</v>
      </c>
      <c r="K211">
        <v>0.44357523732231302</v>
      </c>
      <c r="L211">
        <v>1.1130081998378101</v>
      </c>
      <c r="M211">
        <v>0.25011158278656997</v>
      </c>
      <c r="N211">
        <v>752</v>
      </c>
      <c r="T211">
        <v>950466</v>
      </c>
    </row>
    <row r="212" spans="1:21" x14ac:dyDescent="0.3">
      <c r="A212" s="1">
        <v>45424</v>
      </c>
      <c r="B212">
        <v>10</v>
      </c>
      <c r="C212">
        <v>1622.0598393344901</v>
      </c>
      <c r="D212">
        <v>702.165952889339</v>
      </c>
      <c r="E212">
        <v>5</v>
      </c>
      <c r="F212">
        <v>5</v>
      </c>
      <c r="K212">
        <v>0.56675829854122906</v>
      </c>
      <c r="L212">
        <v>1.4712873082266</v>
      </c>
      <c r="M212">
        <v>0.26098599942946399</v>
      </c>
      <c r="N212">
        <v>1274</v>
      </c>
      <c r="T212">
        <v>1009738</v>
      </c>
    </row>
    <row r="213" spans="1:21" x14ac:dyDescent="0.3">
      <c r="A213" s="1">
        <v>45425</v>
      </c>
      <c r="B213">
        <v>76</v>
      </c>
      <c r="C213">
        <v>1807.8317859988999</v>
      </c>
      <c r="D213">
        <v>2108.2764857418802</v>
      </c>
      <c r="E213">
        <v>40</v>
      </c>
      <c r="F213">
        <v>40</v>
      </c>
      <c r="K213">
        <v>0.50691333265476402</v>
      </c>
      <c r="L213">
        <v>1.5380634008691401</v>
      </c>
      <c r="M213">
        <v>0.25011158278656997</v>
      </c>
      <c r="N213">
        <v>3473</v>
      </c>
      <c r="R213">
        <v>2159306</v>
      </c>
      <c r="T213">
        <v>2031084</v>
      </c>
    </row>
    <row r="214" spans="1:21" x14ac:dyDescent="0.3">
      <c r="A214" s="1">
        <v>45426</v>
      </c>
      <c r="B214">
        <v>76</v>
      </c>
      <c r="C214">
        <v>1816.4378180424701</v>
      </c>
      <c r="D214">
        <v>2568.5264162061499</v>
      </c>
      <c r="E214">
        <v>26</v>
      </c>
      <c r="F214">
        <v>26</v>
      </c>
      <c r="K214">
        <v>0.44343014953519</v>
      </c>
      <c r="L214">
        <v>1.5059031542306101</v>
      </c>
      <c r="M214">
        <v>0.246634256563009</v>
      </c>
      <c r="N214">
        <v>3968</v>
      </c>
      <c r="R214">
        <v>1092462</v>
      </c>
      <c r="T214">
        <v>3129798</v>
      </c>
      <c r="U214">
        <v>85956</v>
      </c>
    </row>
    <row r="215" spans="1:21" x14ac:dyDescent="0.3">
      <c r="A215" s="1">
        <v>45427</v>
      </c>
      <c r="B215">
        <v>1</v>
      </c>
      <c r="C215">
        <v>1582.4416070585501</v>
      </c>
      <c r="D215">
        <v>117.002837715479</v>
      </c>
      <c r="K215">
        <v>0.43295982493792901</v>
      </c>
      <c r="L215">
        <v>1.5114014499545601</v>
      </c>
      <c r="M215">
        <v>0.26098599942946399</v>
      </c>
      <c r="N215">
        <v>332</v>
      </c>
      <c r="T215">
        <v>299311</v>
      </c>
    </row>
    <row r="216" spans="1:21" x14ac:dyDescent="0.3">
      <c r="A216" s="1">
        <v>45428</v>
      </c>
      <c r="B216">
        <v>4</v>
      </c>
      <c r="C216">
        <v>1585.87834182856</v>
      </c>
      <c r="D216">
        <v>268.18568957344399</v>
      </c>
      <c r="K216">
        <v>0.43924964971817498</v>
      </c>
      <c r="L216">
        <v>1.55900975990566</v>
      </c>
      <c r="M216">
        <v>0.271860416072358</v>
      </c>
      <c r="N216">
        <v>508</v>
      </c>
      <c r="T216">
        <v>360938</v>
      </c>
    </row>
    <row r="217" spans="1:21" x14ac:dyDescent="0.3">
      <c r="A217" s="1">
        <v>45429</v>
      </c>
      <c r="B217">
        <v>94</v>
      </c>
      <c r="C217">
        <v>1878.9882389767399</v>
      </c>
      <c r="D217">
        <v>3294.1835399968299</v>
      </c>
      <c r="E217">
        <v>39</v>
      </c>
      <c r="F217">
        <v>39</v>
      </c>
      <c r="K217">
        <v>0.52229586438740305</v>
      </c>
      <c r="L217">
        <v>1.49327638211817</v>
      </c>
      <c r="M217">
        <v>0.24972079860545601</v>
      </c>
      <c r="N217">
        <v>5282</v>
      </c>
      <c r="R217">
        <v>1706083</v>
      </c>
      <c r="T217">
        <v>3791878</v>
      </c>
    </row>
    <row r="218" spans="1:21" x14ac:dyDescent="0.3">
      <c r="A218" s="1">
        <v>45430</v>
      </c>
      <c r="B218">
        <v>49</v>
      </c>
      <c r="C218">
        <v>1734.14646735923</v>
      </c>
      <c r="D218">
        <v>1917.7948917204701</v>
      </c>
      <c r="E218">
        <v>3</v>
      </c>
      <c r="F218">
        <v>3</v>
      </c>
      <c r="K218">
        <v>0.509318450384453</v>
      </c>
      <c r="L218">
        <v>1.3845803779822501</v>
      </c>
      <c r="M218">
        <v>0.25230067013516999</v>
      </c>
      <c r="N218">
        <v>3003</v>
      </c>
      <c r="T218">
        <v>3019656</v>
      </c>
    </row>
    <row r="219" spans="1:21" x14ac:dyDescent="0.3">
      <c r="A219" s="1">
        <v>45431</v>
      </c>
      <c r="B219">
        <v>5</v>
      </c>
      <c r="C219">
        <v>1580.2779717853</v>
      </c>
      <c r="D219">
        <v>236.929613556677</v>
      </c>
      <c r="E219">
        <v>1</v>
      </c>
      <c r="F219">
        <v>1</v>
      </c>
      <c r="K219">
        <v>0.403382900983485</v>
      </c>
      <c r="L219">
        <v>1.4140218876194399</v>
      </c>
      <c r="M219">
        <v>0.32623246588062499</v>
      </c>
      <c r="N219">
        <v>440</v>
      </c>
      <c r="T219">
        <v>260513</v>
      </c>
    </row>
    <row r="220" spans="1:21" x14ac:dyDescent="0.3">
      <c r="A220" s="1">
        <v>45432</v>
      </c>
      <c r="B220">
        <v>7</v>
      </c>
      <c r="C220">
        <v>1587.0216814814801</v>
      </c>
      <c r="D220">
        <v>484.14221066874597</v>
      </c>
      <c r="E220">
        <v>3</v>
      </c>
      <c r="F220">
        <v>3</v>
      </c>
      <c r="K220">
        <v>0.34091351019400201</v>
      </c>
      <c r="L220">
        <v>1.6182522168498601</v>
      </c>
      <c r="M220">
        <v>0.28110208691967298</v>
      </c>
      <c r="N220">
        <v>838</v>
      </c>
      <c r="T220">
        <v>381440</v>
      </c>
    </row>
    <row r="221" spans="1:21" x14ac:dyDescent="0.3">
      <c r="A221" s="1">
        <v>45433</v>
      </c>
      <c r="B221">
        <v>91</v>
      </c>
      <c r="C221">
        <v>1840.4165015988499</v>
      </c>
      <c r="D221">
        <v>3047.80027861496</v>
      </c>
      <c r="E221">
        <v>43</v>
      </c>
      <c r="F221">
        <v>43</v>
      </c>
      <c r="K221">
        <v>0.47923413763890199</v>
      </c>
      <c r="L221">
        <v>1.5373758815058201</v>
      </c>
      <c r="M221">
        <v>0.25011158278656997</v>
      </c>
      <c r="N221">
        <v>4741</v>
      </c>
      <c r="R221">
        <v>1902317</v>
      </c>
      <c r="T221">
        <v>2890298</v>
      </c>
    </row>
    <row r="222" spans="1:21" x14ac:dyDescent="0.3">
      <c r="A222" s="1">
        <v>45434</v>
      </c>
      <c r="B222">
        <v>1</v>
      </c>
      <c r="C222">
        <v>1574.3299425405</v>
      </c>
      <c r="D222">
        <v>114.18137475039001</v>
      </c>
      <c r="K222">
        <v>0.30587473639040502</v>
      </c>
      <c r="L222">
        <v>0.79168182287853195</v>
      </c>
      <c r="M222">
        <v>0.28273483271525301</v>
      </c>
      <c r="N222">
        <v>243</v>
      </c>
      <c r="T222">
        <v>153854</v>
      </c>
    </row>
    <row r="223" spans="1:21" x14ac:dyDescent="0.3">
      <c r="A223" s="1">
        <v>45435</v>
      </c>
      <c r="B223">
        <v>45</v>
      </c>
      <c r="C223">
        <v>1725.82885804744</v>
      </c>
      <c r="D223">
        <v>1844.8455581723799</v>
      </c>
      <c r="E223">
        <v>7</v>
      </c>
      <c r="F223">
        <v>7</v>
      </c>
      <c r="K223">
        <v>0.64688797753406302</v>
      </c>
      <c r="L223">
        <v>1.58682105773375</v>
      </c>
      <c r="M223">
        <v>0.256301985203019</v>
      </c>
      <c r="N223">
        <v>2989</v>
      </c>
      <c r="R223">
        <v>195768</v>
      </c>
      <c r="T223">
        <v>2661087</v>
      </c>
    </row>
    <row r="224" spans="1:21" x14ac:dyDescent="0.3">
      <c r="A224" s="1">
        <v>45436</v>
      </c>
      <c r="B224">
        <v>3</v>
      </c>
      <c r="C224">
        <v>1575.6054961545101</v>
      </c>
      <c r="D224">
        <v>161.81131964626701</v>
      </c>
      <c r="K224">
        <v>0.27606335136042098</v>
      </c>
      <c r="L224">
        <v>0.45571249926770102</v>
      </c>
      <c r="M224">
        <v>0.25830025708268101</v>
      </c>
      <c r="N224">
        <v>526</v>
      </c>
      <c r="T224">
        <v>176727</v>
      </c>
    </row>
    <row r="225" spans="1:20" x14ac:dyDescent="0.3">
      <c r="A225" s="1">
        <v>45437</v>
      </c>
      <c r="B225">
        <v>4</v>
      </c>
      <c r="C225">
        <v>1575.1804975057801</v>
      </c>
      <c r="D225">
        <v>231.27111334197701</v>
      </c>
      <c r="K225">
        <v>0.37591355314297697</v>
      </c>
      <c r="L225">
        <v>0.85493129238494303</v>
      </c>
      <c r="M225">
        <v>0.25011158278656997</v>
      </c>
      <c r="N225">
        <v>539</v>
      </c>
      <c r="T225">
        <v>169106</v>
      </c>
    </row>
    <row r="226" spans="1:20" x14ac:dyDescent="0.3">
      <c r="A226" s="1">
        <v>45438</v>
      </c>
      <c r="B226">
        <v>73</v>
      </c>
      <c r="C226">
        <v>1820.90028752221</v>
      </c>
      <c r="D226">
        <v>2435.3958228121701</v>
      </c>
      <c r="E226">
        <v>37</v>
      </c>
      <c r="F226">
        <v>37</v>
      </c>
      <c r="K226">
        <v>0.494937038674026</v>
      </c>
      <c r="L226">
        <v>1.9436856696409399</v>
      </c>
      <c r="M226">
        <v>0.26558909782747098</v>
      </c>
      <c r="N226">
        <v>3722</v>
      </c>
      <c r="R226">
        <v>1785141</v>
      </c>
      <c r="T226">
        <v>2665682</v>
      </c>
    </row>
    <row r="227" spans="1:20" x14ac:dyDescent="0.3">
      <c r="A227" s="1">
        <v>45439</v>
      </c>
      <c r="B227">
        <v>28</v>
      </c>
      <c r="C227">
        <v>1659.6828877432899</v>
      </c>
      <c r="D227">
        <v>1495.91724070191</v>
      </c>
      <c r="E227">
        <v>11</v>
      </c>
      <c r="F227">
        <v>11</v>
      </c>
      <c r="K227">
        <v>0.96844816997527305</v>
      </c>
      <c r="L227">
        <v>1.5094304220413799</v>
      </c>
      <c r="M227">
        <v>0.29360924935814697</v>
      </c>
      <c r="N227">
        <v>2167</v>
      </c>
      <c r="T227">
        <v>1684388</v>
      </c>
    </row>
    <row r="228" spans="1:20" x14ac:dyDescent="0.3">
      <c r="A228" s="1">
        <v>45440</v>
      </c>
      <c r="B228">
        <v>2</v>
      </c>
      <c r="C228">
        <v>1568.10692729166</v>
      </c>
      <c r="D228">
        <v>90.040169803165199</v>
      </c>
      <c r="K228">
        <v>0.65180286387120201</v>
      </c>
      <c r="L228">
        <v>0.698513732837305</v>
      </c>
      <c r="M228">
        <v>0.326232490495723</v>
      </c>
      <c r="N228">
        <v>306</v>
      </c>
      <c r="T228">
        <v>42264</v>
      </c>
    </row>
    <row r="229" spans="1:20" x14ac:dyDescent="0.3">
      <c r="A229" s="1">
        <v>45441</v>
      </c>
      <c r="B229">
        <v>201</v>
      </c>
      <c r="C229">
        <v>2151.8562785245899</v>
      </c>
      <c r="D229">
        <v>10895.8571122431</v>
      </c>
      <c r="E229">
        <v>83</v>
      </c>
      <c r="F229">
        <v>83</v>
      </c>
      <c r="K229">
        <v>0.49266968416905899</v>
      </c>
      <c r="L229">
        <v>1.6816229832993099</v>
      </c>
      <c r="M229">
        <v>0.26098599942946399</v>
      </c>
      <c r="N229">
        <v>15760</v>
      </c>
      <c r="R229">
        <v>658830</v>
      </c>
      <c r="T229">
        <v>9804220</v>
      </c>
    </row>
    <row r="230" spans="1:20" x14ac:dyDescent="0.3">
      <c r="A230" s="1">
        <v>45442</v>
      </c>
      <c r="B230">
        <v>34</v>
      </c>
      <c r="C230">
        <v>1671.4823681502901</v>
      </c>
      <c r="D230">
        <v>1919.23288596815</v>
      </c>
      <c r="E230">
        <v>11</v>
      </c>
      <c r="F230">
        <v>11</v>
      </c>
      <c r="K230">
        <v>0.468226670151836</v>
      </c>
      <c r="L230">
        <v>1.6402766432112299</v>
      </c>
      <c r="M230">
        <v>0.25011158278656997</v>
      </c>
      <c r="N230">
        <v>2899</v>
      </c>
      <c r="T230">
        <v>1895974</v>
      </c>
    </row>
    <row r="231" spans="1:20" x14ac:dyDescent="0.3">
      <c r="A231" s="1">
        <v>45443</v>
      </c>
      <c r="B231">
        <v>48</v>
      </c>
      <c r="C231">
        <v>1728.1286361742</v>
      </c>
      <c r="D231">
        <v>3211.7501681745998</v>
      </c>
      <c r="E231">
        <v>27</v>
      </c>
      <c r="F231">
        <v>26</v>
      </c>
      <c r="K231">
        <v>0.47743006106795399</v>
      </c>
      <c r="L231">
        <v>2.3705842958711898</v>
      </c>
      <c r="M231">
        <v>0.25011158278656997</v>
      </c>
      <c r="N231">
        <v>4701</v>
      </c>
      <c r="T231">
        <v>2911745</v>
      </c>
    </row>
    <row r="232" spans="1:20" x14ac:dyDescent="0.3">
      <c r="A232" s="1">
        <v>45444</v>
      </c>
      <c r="B232">
        <v>37</v>
      </c>
      <c r="C232">
        <v>1677.75398633282</v>
      </c>
      <c r="D232">
        <v>1986.9092448171</v>
      </c>
      <c r="E232">
        <v>10</v>
      </c>
      <c r="F232">
        <v>10</v>
      </c>
      <c r="K232">
        <v>0.59905600526890201</v>
      </c>
      <c r="L232">
        <v>1.3990561728194599</v>
      </c>
      <c r="M232">
        <v>0.25328310464576198</v>
      </c>
      <c r="N232">
        <v>3027</v>
      </c>
      <c r="T232">
        <v>2008437</v>
      </c>
    </row>
    <row r="233" spans="1:20" x14ac:dyDescent="0.3">
      <c r="A233" s="1">
        <v>45445</v>
      </c>
      <c r="B233">
        <v>78</v>
      </c>
      <c r="C233">
        <v>1717.36797693983</v>
      </c>
      <c r="D233">
        <v>3404.4717225335999</v>
      </c>
      <c r="E233">
        <v>13</v>
      </c>
      <c r="F233">
        <v>13</v>
      </c>
      <c r="K233">
        <v>0.37419333383953601</v>
      </c>
      <c r="L233">
        <v>1.48191389585051</v>
      </c>
      <c r="M233">
        <v>0.26098599942946399</v>
      </c>
      <c r="N233">
        <v>5179</v>
      </c>
      <c r="T233">
        <v>2718788</v>
      </c>
    </row>
    <row r="234" spans="1:20" x14ac:dyDescent="0.3">
      <c r="A234" s="1">
        <v>45446</v>
      </c>
      <c r="B234">
        <v>134</v>
      </c>
      <c r="C234">
        <v>1967.9743538763801</v>
      </c>
      <c r="D234">
        <v>8064.3137175333504</v>
      </c>
      <c r="E234">
        <v>54</v>
      </c>
      <c r="F234">
        <v>54</v>
      </c>
      <c r="K234">
        <v>0.50105849596157204</v>
      </c>
      <c r="L234">
        <v>1.52733067065256</v>
      </c>
      <c r="M234">
        <v>0.257898543669554</v>
      </c>
      <c r="N234">
        <v>11907</v>
      </c>
      <c r="T234">
        <v>7212616</v>
      </c>
    </row>
    <row r="235" spans="1:20" x14ac:dyDescent="0.3">
      <c r="A235" s="1">
        <v>45447</v>
      </c>
      <c r="B235">
        <v>98</v>
      </c>
      <c r="C235">
        <v>1892.7178761363</v>
      </c>
      <c r="D235">
        <v>4862.3012735564798</v>
      </c>
      <c r="E235">
        <v>26</v>
      </c>
      <c r="F235">
        <v>24</v>
      </c>
      <c r="K235">
        <v>0.66898613833929599</v>
      </c>
      <c r="L235">
        <v>2.05954330097375</v>
      </c>
      <c r="M235">
        <v>0.26098599942946399</v>
      </c>
      <c r="N235">
        <v>7406</v>
      </c>
      <c r="T235">
        <v>5863133</v>
      </c>
    </row>
    <row r="236" spans="1:20" x14ac:dyDescent="0.3">
      <c r="A236" s="1">
        <v>45448</v>
      </c>
      <c r="B236">
        <v>28</v>
      </c>
      <c r="C236">
        <v>1606.44845077788</v>
      </c>
      <c r="D236">
        <v>1635.2883354130699</v>
      </c>
      <c r="E236">
        <v>10</v>
      </c>
      <c r="F236">
        <v>10</v>
      </c>
      <c r="K236">
        <v>0.49812304953321102</v>
      </c>
      <c r="L236">
        <v>1.5227200640316001</v>
      </c>
      <c r="M236">
        <v>0.291106476436435</v>
      </c>
      <c r="N236">
        <v>2460</v>
      </c>
      <c r="T236">
        <v>729798</v>
      </c>
    </row>
    <row r="237" spans="1:20" x14ac:dyDescent="0.3">
      <c r="A237" s="1">
        <v>45449</v>
      </c>
      <c r="B237">
        <v>22</v>
      </c>
      <c r="C237">
        <v>1626.2114348591101</v>
      </c>
      <c r="D237">
        <v>1279.6244643341799</v>
      </c>
      <c r="E237">
        <v>7</v>
      </c>
      <c r="F237">
        <v>7</v>
      </c>
      <c r="K237">
        <v>0.338801661794702</v>
      </c>
      <c r="L237">
        <v>1.4429867907376901</v>
      </c>
      <c r="M237">
        <v>0.25011158278656997</v>
      </c>
      <c r="N237">
        <v>2119</v>
      </c>
      <c r="T237">
        <v>1084184</v>
      </c>
    </row>
    <row r="238" spans="1:20" x14ac:dyDescent="0.3">
      <c r="A238" s="1">
        <v>45450</v>
      </c>
      <c r="B238">
        <v>94</v>
      </c>
      <c r="C238">
        <v>1848.5652219337001</v>
      </c>
      <c r="D238">
        <v>3690.0670232114298</v>
      </c>
      <c r="E238">
        <v>24</v>
      </c>
      <c r="F238">
        <v>24</v>
      </c>
      <c r="K238">
        <v>0.63617737708922895</v>
      </c>
      <c r="L238">
        <v>1.52124393729186</v>
      </c>
      <c r="M238">
        <v>0.25011158278656997</v>
      </c>
      <c r="N238">
        <v>5746</v>
      </c>
      <c r="R238">
        <v>857971</v>
      </c>
      <c r="T238">
        <v>4153590</v>
      </c>
    </row>
    <row r="239" spans="1:20" x14ac:dyDescent="0.3">
      <c r="A239" s="1">
        <v>45451</v>
      </c>
      <c r="B239">
        <v>74</v>
      </c>
      <c r="C239">
        <v>1822.5091109620701</v>
      </c>
      <c r="D239">
        <v>2623.5749052237802</v>
      </c>
      <c r="E239">
        <v>48</v>
      </c>
      <c r="F239">
        <v>48</v>
      </c>
      <c r="K239">
        <v>0.75166672244214805</v>
      </c>
      <c r="L239">
        <v>1.51413104861548</v>
      </c>
      <c r="M239">
        <v>0.28273483271525301</v>
      </c>
      <c r="N239">
        <v>3958</v>
      </c>
      <c r="R239">
        <v>1928467</v>
      </c>
      <c r="T239">
        <v>2541210</v>
      </c>
    </row>
    <row r="240" spans="1:20" x14ac:dyDescent="0.3">
      <c r="A240" s="1">
        <v>45452</v>
      </c>
      <c r="B240">
        <v>12</v>
      </c>
      <c r="C240">
        <v>1605.04213190261</v>
      </c>
      <c r="D240">
        <v>526.20810194382796</v>
      </c>
      <c r="E240">
        <v>1</v>
      </c>
      <c r="F240">
        <v>1</v>
      </c>
      <c r="K240">
        <v>0.373766238368619</v>
      </c>
      <c r="L240">
        <v>1.2804801724712001</v>
      </c>
      <c r="M240">
        <v>0.25011158278656997</v>
      </c>
      <c r="N240">
        <v>915</v>
      </c>
      <c r="T240">
        <v>704580</v>
      </c>
    </row>
    <row r="241" spans="1:20" x14ac:dyDescent="0.3">
      <c r="A241" s="1">
        <v>45453</v>
      </c>
      <c r="B241">
        <v>58</v>
      </c>
      <c r="C241">
        <v>1750.2262486429299</v>
      </c>
      <c r="D241">
        <v>354.71028423309599</v>
      </c>
      <c r="E241">
        <v>49</v>
      </c>
      <c r="F241">
        <v>49</v>
      </c>
      <c r="K241">
        <v>0.34327563837529601</v>
      </c>
      <c r="L241">
        <v>1.25154994882826</v>
      </c>
      <c r="M241">
        <v>0.271860416072358</v>
      </c>
      <c r="N241">
        <v>665</v>
      </c>
      <c r="R241">
        <v>2997528</v>
      </c>
      <c r="T241">
        <v>101435</v>
      </c>
    </row>
    <row r="242" spans="1:20" x14ac:dyDescent="0.3">
      <c r="A242" s="1">
        <v>45454</v>
      </c>
      <c r="B242">
        <v>117</v>
      </c>
      <c r="C242">
        <v>1897.6177865525599</v>
      </c>
      <c r="D242">
        <v>4704.7617032115304</v>
      </c>
      <c r="E242">
        <v>37</v>
      </c>
      <c r="F242">
        <v>37</v>
      </c>
      <c r="K242">
        <v>0.86662332027367694</v>
      </c>
      <c r="L242">
        <v>1.67517452421505</v>
      </c>
      <c r="M242">
        <v>0.249554877157044</v>
      </c>
      <c r="N242">
        <v>7054</v>
      </c>
      <c r="R242">
        <v>1387369</v>
      </c>
      <c r="T242">
        <v>4466862</v>
      </c>
    </row>
    <row r="243" spans="1:20" x14ac:dyDescent="0.3">
      <c r="A243" s="1">
        <v>45455</v>
      </c>
      <c r="C243">
        <v>1565.75</v>
      </c>
      <c r="D243">
        <v>16.9640899629151</v>
      </c>
      <c r="K243">
        <v>0.25011158278656997</v>
      </c>
      <c r="L243">
        <v>0.25011158278656997</v>
      </c>
      <c r="M243">
        <v>0.25011158278656997</v>
      </c>
      <c r="N243">
        <v>88</v>
      </c>
    </row>
    <row r="244" spans="1:20" x14ac:dyDescent="0.3">
      <c r="A244" s="1">
        <v>45456</v>
      </c>
      <c r="B244">
        <v>6</v>
      </c>
      <c r="C244">
        <v>1578.77881297982</v>
      </c>
      <c r="D244">
        <v>262.334027858225</v>
      </c>
      <c r="K244">
        <v>0.99617687982721903</v>
      </c>
      <c r="L244">
        <v>1.3302257453447199</v>
      </c>
      <c r="M244">
        <v>0.49894546447847699</v>
      </c>
      <c r="N244">
        <v>508</v>
      </c>
      <c r="T244">
        <v>233631</v>
      </c>
    </row>
    <row r="245" spans="1:20" x14ac:dyDescent="0.3">
      <c r="A245" s="1">
        <v>45457</v>
      </c>
      <c r="B245">
        <v>67</v>
      </c>
      <c r="C245">
        <v>1700.03577567103</v>
      </c>
      <c r="D245">
        <v>3498.3273786171098</v>
      </c>
      <c r="E245">
        <v>24</v>
      </c>
      <c r="F245">
        <v>24</v>
      </c>
      <c r="K245">
        <v>0.56803579794065395</v>
      </c>
      <c r="L245">
        <v>2.0785304591466902</v>
      </c>
      <c r="M245">
        <v>0.25569052975967199</v>
      </c>
      <c r="N245">
        <v>5059</v>
      </c>
      <c r="T245">
        <v>2395752</v>
      </c>
    </row>
    <row r="246" spans="1:20" x14ac:dyDescent="0.3">
      <c r="A246" s="1">
        <v>45458</v>
      </c>
      <c r="B246">
        <v>80</v>
      </c>
      <c r="C246">
        <v>1786.50974233227</v>
      </c>
      <c r="D246">
        <v>3483.6816506936202</v>
      </c>
      <c r="E246">
        <v>27</v>
      </c>
      <c r="F246">
        <v>27</v>
      </c>
      <c r="K246">
        <v>0.55228609515423999</v>
      </c>
      <c r="L246">
        <v>2.05295284259797</v>
      </c>
      <c r="M246">
        <v>0.24995629124588301</v>
      </c>
      <c r="N246">
        <v>5279</v>
      </c>
      <c r="R246">
        <v>798106</v>
      </c>
      <c r="T246">
        <v>3104863</v>
      </c>
    </row>
    <row r="247" spans="1:20" x14ac:dyDescent="0.3">
      <c r="A247" s="1">
        <v>45459</v>
      </c>
      <c r="B247">
        <v>46</v>
      </c>
      <c r="C247">
        <v>1727.7719130005701</v>
      </c>
      <c r="D247">
        <v>418.49368921828398</v>
      </c>
      <c r="E247">
        <v>38</v>
      </c>
      <c r="F247">
        <v>38</v>
      </c>
      <c r="K247">
        <v>0.43070096781507899</v>
      </c>
      <c r="L247">
        <v>1.65086302357825</v>
      </c>
      <c r="M247">
        <v>0.32623248410219102</v>
      </c>
      <c r="N247">
        <v>755</v>
      </c>
      <c r="R247">
        <v>2322383</v>
      </c>
      <c r="T247">
        <v>421014</v>
      </c>
    </row>
    <row r="248" spans="1:20" x14ac:dyDescent="0.3">
      <c r="A248" s="1">
        <v>45460</v>
      </c>
      <c r="B248">
        <v>6</v>
      </c>
      <c r="C248">
        <v>1593.3542784577501</v>
      </c>
      <c r="D248">
        <v>372.21920192872301</v>
      </c>
      <c r="K248">
        <v>0.90979106511387497</v>
      </c>
      <c r="L248">
        <v>1.44380757271265</v>
      </c>
      <c r="M248">
        <v>0.275232538102889</v>
      </c>
      <c r="N248">
        <v>667</v>
      </c>
      <c r="T248">
        <v>494995</v>
      </c>
    </row>
    <row r="249" spans="1:20" x14ac:dyDescent="0.3">
      <c r="A249" s="1">
        <v>45461</v>
      </c>
      <c r="B249">
        <v>177</v>
      </c>
      <c r="C249">
        <v>2129.3755129456799</v>
      </c>
      <c r="D249">
        <v>4408.8097044691103</v>
      </c>
      <c r="E249">
        <v>108</v>
      </c>
      <c r="F249">
        <v>108</v>
      </c>
      <c r="K249">
        <v>0.57220892764327902</v>
      </c>
      <c r="L249">
        <v>1.49261187370778</v>
      </c>
      <c r="M249">
        <v>0.25908590195577602</v>
      </c>
      <c r="N249">
        <v>6716</v>
      </c>
      <c r="R249">
        <v>5634090</v>
      </c>
      <c r="T249">
        <v>4079849</v>
      </c>
    </row>
    <row r="250" spans="1:20" x14ac:dyDescent="0.3">
      <c r="A250" s="1">
        <v>45462</v>
      </c>
      <c r="B250">
        <v>79</v>
      </c>
      <c r="C250">
        <v>1818.78196546717</v>
      </c>
      <c r="D250">
        <v>2203.0991854932299</v>
      </c>
      <c r="E250">
        <v>48</v>
      </c>
      <c r="F250">
        <v>48</v>
      </c>
      <c r="K250">
        <v>0.50916239858155798</v>
      </c>
      <c r="L250">
        <v>1.49402766228213</v>
      </c>
      <c r="M250">
        <v>0.28273483271525301</v>
      </c>
      <c r="N250">
        <v>3316</v>
      </c>
      <c r="R250">
        <v>2335480</v>
      </c>
      <c r="T250">
        <v>2038977</v>
      </c>
    </row>
    <row r="251" spans="1:20" x14ac:dyDescent="0.3">
      <c r="A251" s="1">
        <v>45463</v>
      </c>
      <c r="B251">
        <v>8</v>
      </c>
      <c r="C251">
        <v>1569.5212286603</v>
      </c>
      <c r="D251">
        <v>234.234934487944</v>
      </c>
      <c r="K251">
        <v>0.40149622365372001</v>
      </c>
      <c r="L251">
        <v>0.57764567916333698</v>
      </c>
      <c r="M251">
        <v>0.32623249540238702</v>
      </c>
      <c r="N251">
        <v>492</v>
      </c>
      <c r="T251">
        <v>67625</v>
      </c>
    </row>
    <row r="252" spans="1:20" x14ac:dyDescent="0.3">
      <c r="A252" s="1">
        <v>45464</v>
      </c>
      <c r="B252">
        <v>15</v>
      </c>
      <c r="C252">
        <v>1643.2844837845801</v>
      </c>
      <c r="D252">
        <v>919.78128330573497</v>
      </c>
      <c r="E252">
        <v>5</v>
      </c>
      <c r="F252">
        <v>5</v>
      </c>
      <c r="K252">
        <v>0.44042975559301001</v>
      </c>
      <c r="L252">
        <v>1.5181906368264</v>
      </c>
      <c r="M252">
        <v>0.25011158278656997</v>
      </c>
      <c r="N252">
        <v>1562</v>
      </c>
      <c r="T252">
        <v>1390336</v>
      </c>
    </row>
    <row r="253" spans="1:20" x14ac:dyDescent="0.3">
      <c r="A253" s="1">
        <v>45465</v>
      </c>
      <c r="B253">
        <v>110</v>
      </c>
      <c r="C253">
        <v>1933.80810768229</v>
      </c>
      <c r="D253">
        <v>840.807716825998</v>
      </c>
      <c r="E253">
        <v>88</v>
      </c>
      <c r="F253">
        <v>88</v>
      </c>
      <c r="K253">
        <v>0.35173457371995098</v>
      </c>
      <c r="L253">
        <v>1.28136667546681</v>
      </c>
      <c r="M253">
        <v>0.271860416072358</v>
      </c>
      <c r="N253">
        <v>1362</v>
      </c>
      <c r="R253">
        <v>5378678</v>
      </c>
      <c r="T253">
        <v>846193</v>
      </c>
    </row>
    <row r="254" spans="1:20" x14ac:dyDescent="0.3">
      <c r="A254" s="1">
        <v>45466</v>
      </c>
      <c r="B254">
        <v>5</v>
      </c>
      <c r="C254">
        <v>1568.54921364294</v>
      </c>
      <c r="D254">
        <v>181.41159711492799</v>
      </c>
      <c r="K254">
        <v>0.30457352817893202</v>
      </c>
      <c r="L254">
        <v>1.04313898668061</v>
      </c>
      <c r="M254">
        <v>0.26098599942946399</v>
      </c>
      <c r="N254">
        <v>384</v>
      </c>
      <c r="T254">
        <v>50195</v>
      </c>
    </row>
    <row r="255" spans="1:20" x14ac:dyDescent="0.3">
      <c r="A255" s="1">
        <v>45467</v>
      </c>
      <c r="B255">
        <v>133</v>
      </c>
      <c r="C255">
        <v>2058.0022179194998</v>
      </c>
      <c r="D255">
        <v>927.44802316463904</v>
      </c>
      <c r="E255">
        <v>111</v>
      </c>
      <c r="F255">
        <v>111</v>
      </c>
      <c r="K255">
        <v>0.41641046715764801</v>
      </c>
      <c r="L255">
        <v>1.10433315288365</v>
      </c>
      <c r="M255">
        <v>0.25011158278656997</v>
      </c>
      <c r="N255">
        <v>1452</v>
      </c>
      <c r="R255">
        <v>6822802</v>
      </c>
      <c r="T255">
        <v>1528390</v>
      </c>
    </row>
    <row r="256" spans="1:20" x14ac:dyDescent="0.3">
      <c r="A256" s="1">
        <v>45468</v>
      </c>
      <c r="B256">
        <v>89</v>
      </c>
      <c r="C256">
        <v>1875.43763860532</v>
      </c>
      <c r="D256">
        <v>1298.0586869214701</v>
      </c>
      <c r="E256">
        <v>66</v>
      </c>
      <c r="F256">
        <v>66</v>
      </c>
      <c r="K256">
        <v>0.43771520956410398</v>
      </c>
      <c r="L256">
        <v>1.4197964795339499</v>
      </c>
      <c r="M256">
        <v>0.27818258447421601</v>
      </c>
      <c r="N256">
        <v>2008</v>
      </c>
      <c r="R256">
        <v>3981273</v>
      </c>
      <c r="T256">
        <v>1294357</v>
      </c>
    </row>
    <row r="257" spans="1:20" x14ac:dyDescent="0.3">
      <c r="A257" s="1">
        <v>45469</v>
      </c>
      <c r="B257">
        <v>111</v>
      </c>
      <c r="C257">
        <v>1920.1228693103401</v>
      </c>
      <c r="D257">
        <v>2426.3194856718101</v>
      </c>
      <c r="E257">
        <v>73</v>
      </c>
      <c r="F257">
        <v>73</v>
      </c>
      <c r="K257">
        <v>0.56151638998212305</v>
      </c>
      <c r="L257">
        <v>1.7201513736927401</v>
      </c>
      <c r="M257">
        <v>0.27631336854930899</v>
      </c>
      <c r="N257">
        <v>3658</v>
      </c>
      <c r="R257">
        <v>4098049</v>
      </c>
      <c r="T257">
        <v>1960547</v>
      </c>
    </row>
    <row r="258" spans="1:20" x14ac:dyDescent="0.3">
      <c r="A258" s="1">
        <v>45470</v>
      </c>
      <c r="B258">
        <v>53</v>
      </c>
      <c r="C258">
        <v>1694.0913055056101</v>
      </c>
      <c r="D258">
        <v>2692.95203377294</v>
      </c>
      <c r="E258">
        <v>10</v>
      </c>
      <c r="F258">
        <v>10</v>
      </c>
      <c r="K258">
        <v>0.372207335716087</v>
      </c>
      <c r="L258">
        <v>1.4431233662093399</v>
      </c>
      <c r="M258">
        <v>0.25011158278656997</v>
      </c>
      <c r="N258">
        <v>4313</v>
      </c>
      <c r="T258">
        <v>2301394</v>
      </c>
    </row>
    <row r="259" spans="1:20" x14ac:dyDescent="0.3">
      <c r="A259" s="1">
        <v>45471</v>
      </c>
      <c r="B259">
        <v>138</v>
      </c>
      <c r="C259">
        <v>2001.96364351069</v>
      </c>
      <c r="D259">
        <v>7100.21299763775</v>
      </c>
      <c r="E259">
        <v>31</v>
      </c>
      <c r="F259">
        <v>31</v>
      </c>
      <c r="K259">
        <v>0.61912938533199202</v>
      </c>
      <c r="L259">
        <v>1.5523907215610799</v>
      </c>
      <c r="M259">
        <v>0.25011158278656997</v>
      </c>
      <c r="N259">
        <v>10850</v>
      </c>
      <c r="T259">
        <v>7822107</v>
      </c>
    </row>
    <row r="260" spans="1:20" x14ac:dyDescent="0.3">
      <c r="A260" s="1">
        <v>45472</v>
      </c>
      <c r="B260">
        <v>103</v>
      </c>
      <c r="C260">
        <v>1786.76516592897</v>
      </c>
      <c r="D260">
        <v>4675.5164190178202</v>
      </c>
      <c r="E260">
        <v>15</v>
      </c>
      <c r="F260">
        <v>15</v>
      </c>
      <c r="K260">
        <v>0.51757577668002097</v>
      </c>
      <c r="L260">
        <v>1.49346591161522</v>
      </c>
      <c r="M260">
        <v>0.25011158278656997</v>
      </c>
      <c r="N260">
        <v>7301</v>
      </c>
      <c r="T260">
        <v>3963205</v>
      </c>
    </row>
    <row r="261" spans="1:20" x14ac:dyDescent="0.3">
      <c r="A261" s="1">
        <v>45473</v>
      </c>
      <c r="B261">
        <v>51</v>
      </c>
      <c r="C261">
        <v>1718.3295295819801</v>
      </c>
      <c r="D261">
        <v>2500.0001982173999</v>
      </c>
      <c r="E261">
        <v>12</v>
      </c>
      <c r="F261">
        <v>12</v>
      </c>
      <c r="K261">
        <v>0.44936414161745403</v>
      </c>
      <c r="L261">
        <v>1.5251795817538401</v>
      </c>
      <c r="M261">
        <v>0.26098599942946399</v>
      </c>
      <c r="N261">
        <v>3899</v>
      </c>
      <c r="T261">
        <v>2736028</v>
      </c>
    </row>
    <row r="262" spans="1:20" x14ac:dyDescent="0.3">
      <c r="A262" s="1">
        <v>45474</v>
      </c>
      <c r="B262">
        <v>115</v>
      </c>
      <c r="C262">
        <v>1842.43304282742</v>
      </c>
      <c r="D262">
        <v>4510.9504291521698</v>
      </c>
      <c r="E262">
        <v>31</v>
      </c>
      <c r="F262">
        <v>31</v>
      </c>
      <c r="K262">
        <v>0.54388999257455295</v>
      </c>
      <c r="L262">
        <v>1.43297172062096</v>
      </c>
      <c r="M262">
        <v>0.25011158278656997</v>
      </c>
      <c r="N262">
        <v>7100</v>
      </c>
      <c r="R262">
        <v>1061538</v>
      </c>
      <c r="T262">
        <v>3825867</v>
      </c>
    </row>
    <row r="263" spans="1:20" x14ac:dyDescent="0.3">
      <c r="A263" s="1">
        <v>45475</v>
      </c>
      <c r="B263">
        <v>38</v>
      </c>
      <c r="C263">
        <v>1637.8725903868001</v>
      </c>
      <c r="D263">
        <v>1661.0033071226301</v>
      </c>
      <c r="E263">
        <v>1</v>
      </c>
      <c r="F263">
        <v>1</v>
      </c>
      <c r="K263">
        <v>0.381187855487503</v>
      </c>
      <c r="L263">
        <v>1.50266185641066</v>
      </c>
      <c r="M263">
        <v>0.25011158278656997</v>
      </c>
      <c r="N263">
        <v>2921</v>
      </c>
      <c r="T263">
        <v>1293290</v>
      </c>
    </row>
    <row r="264" spans="1:20" x14ac:dyDescent="0.3">
      <c r="A264" s="1">
        <v>45476</v>
      </c>
      <c r="B264">
        <v>17</v>
      </c>
      <c r="C264">
        <v>1624.8389950073199</v>
      </c>
      <c r="D264">
        <v>754.45993213380405</v>
      </c>
      <c r="K264">
        <v>0.468595477379808</v>
      </c>
      <c r="L264">
        <v>1.2037549466925599</v>
      </c>
      <c r="M264">
        <v>0.25011158278656997</v>
      </c>
      <c r="N264">
        <v>1642</v>
      </c>
      <c r="T264">
        <v>1059572</v>
      </c>
    </row>
    <row r="265" spans="1:20" x14ac:dyDescent="0.3">
      <c r="A265" s="1">
        <v>45477</v>
      </c>
      <c r="B265">
        <v>33</v>
      </c>
      <c r="C265">
        <v>1670.57058261574</v>
      </c>
      <c r="D265">
        <v>1393.1194458521099</v>
      </c>
      <c r="K265">
        <v>0.44520545784473903</v>
      </c>
      <c r="L265">
        <v>1.4622795518818099</v>
      </c>
      <c r="M265">
        <v>0.26098599942946399</v>
      </c>
      <c r="N265">
        <v>2599</v>
      </c>
      <c r="T265">
        <v>1879624</v>
      </c>
    </row>
    <row r="266" spans="1:20" x14ac:dyDescent="0.3">
      <c r="A266" s="1">
        <v>45478</v>
      </c>
      <c r="B266">
        <v>93</v>
      </c>
      <c r="C266">
        <v>1762.4120013745301</v>
      </c>
      <c r="D266">
        <v>5258.3374334721302</v>
      </c>
      <c r="E266">
        <v>24</v>
      </c>
      <c r="F266">
        <v>24</v>
      </c>
      <c r="K266">
        <v>0.56104857586808399</v>
      </c>
      <c r="L266">
        <v>1.60040463294577</v>
      </c>
      <c r="M266">
        <v>0.25011158278656997</v>
      </c>
      <c r="N266">
        <v>7851</v>
      </c>
      <c r="T266">
        <v>3526509</v>
      </c>
    </row>
    <row r="267" spans="1:20" x14ac:dyDescent="0.3">
      <c r="A267" s="1">
        <v>45479</v>
      </c>
      <c r="B267">
        <v>122</v>
      </c>
      <c r="C267">
        <v>1908.32938997473</v>
      </c>
      <c r="D267">
        <v>5665.0280359716098</v>
      </c>
      <c r="E267">
        <v>65</v>
      </c>
      <c r="F267">
        <v>65</v>
      </c>
      <c r="K267">
        <v>0.51051068692887802</v>
      </c>
      <c r="L267">
        <v>1.50065187532716</v>
      </c>
      <c r="M267">
        <v>0.25011158278656997</v>
      </c>
      <c r="N267">
        <v>8340</v>
      </c>
      <c r="R267">
        <v>1817423</v>
      </c>
      <c r="T267">
        <v>4198913</v>
      </c>
    </row>
    <row r="268" spans="1:20" x14ac:dyDescent="0.3">
      <c r="A268" s="1">
        <v>45480</v>
      </c>
      <c r="B268">
        <v>30</v>
      </c>
      <c r="C268">
        <v>1600.4515495543901</v>
      </c>
      <c r="D268">
        <v>1080.80874393251</v>
      </c>
      <c r="K268">
        <v>0.364080017898046</v>
      </c>
      <c r="L268">
        <v>1.06384512393749</v>
      </c>
      <c r="M268">
        <v>0.26098599942946399</v>
      </c>
      <c r="N268">
        <v>1850</v>
      </c>
      <c r="T268">
        <v>622262</v>
      </c>
    </row>
    <row r="269" spans="1:20" x14ac:dyDescent="0.3">
      <c r="A269" s="1">
        <v>45481</v>
      </c>
      <c r="B269">
        <v>102</v>
      </c>
      <c r="C269">
        <v>1787.4777816260801</v>
      </c>
      <c r="D269">
        <v>4810.5849150056101</v>
      </c>
      <c r="E269">
        <v>13</v>
      </c>
      <c r="F269">
        <v>13</v>
      </c>
      <c r="K269">
        <v>0.59936340689323997</v>
      </c>
      <c r="L269">
        <v>1.7895450440139999</v>
      </c>
      <c r="M269">
        <v>0.25011158278656997</v>
      </c>
      <c r="N269">
        <v>7615</v>
      </c>
      <c r="T269">
        <v>3975984</v>
      </c>
    </row>
    <row r="270" spans="1:20" x14ac:dyDescent="0.3">
      <c r="A270" s="1">
        <v>45482</v>
      </c>
      <c r="B270">
        <v>114</v>
      </c>
      <c r="C270">
        <v>1668.3925931767401</v>
      </c>
      <c r="D270">
        <v>4030.1773765233702</v>
      </c>
      <c r="E270">
        <v>2</v>
      </c>
      <c r="F270">
        <v>2</v>
      </c>
      <c r="K270">
        <v>0.42655429345553703</v>
      </c>
      <c r="L270">
        <v>1.4157204030158399</v>
      </c>
      <c r="M270">
        <v>0.26098599942946399</v>
      </c>
      <c r="N270">
        <v>6430</v>
      </c>
      <c r="T270">
        <v>1840569</v>
      </c>
    </row>
    <row r="271" spans="1:20" x14ac:dyDescent="0.3">
      <c r="A271" s="1">
        <v>45483</v>
      </c>
      <c r="B271">
        <v>114</v>
      </c>
      <c r="C271">
        <v>1715.90225961428</v>
      </c>
      <c r="D271">
        <v>4111.4410803150404</v>
      </c>
      <c r="E271">
        <v>2</v>
      </c>
      <c r="F271">
        <v>2</v>
      </c>
      <c r="K271">
        <v>0.549555915578962</v>
      </c>
      <c r="L271">
        <v>1.6224300140524901</v>
      </c>
      <c r="M271">
        <v>0.26098599942946399</v>
      </c>
      <c r="N271">
        <v>6673</v>
      </c>
      <c r="T271">
        <v>2692505</v>
      </c>
    </row>
    <row r="272" spans="1:20" x14ac:dyDescent="0.3">
      <c r="A272" s="1">
        <v>45484</v>
      </c>
      <c r="B272">
        <v>117</v>
      </c>
      <c r="C272">
        <v>1874.89533479593</v>
      </c>
      <c r="D272">
        <v>6315.0247003993099</v>
      </c>
      <c r="E272">
        <v>31</v>
      </c>
      <c r="F272">
        <v>31</v>
      </c>
      <c r="K272">
        <v>0.63116036402317699</v>
      </c>
      <c r="L272">
        <v>1.5571797397400899</v>
      </c>
      <c r="M272">
        <v>0.25011158278656997</v>
      </c>
      <c r="N272">
        <v>9671</v>
      </c>
      <c r="T272">
        <v>5543541</v>
      </c>
    </row>
    <row r="273" spans="1:20" x14ac:dyDescent="0.3">
      <c r="A273" s="1">
        <v>45485</v>
      </c>
      <c r="B273">
        <v>84</v>
      </c>
      <c r="C273">
        <v>1689.1020299204199</v>
      </c>
      <c r="D273">
        <v>2756.0395721597401</v>
      </c>
      <c r="E273">
        <v>1</v>
      </c>
      <c r="F273">
        <v>1</v>
      </c>
      <c r="K273">
        <v>0.373689537157884</v>
      </c>
      <c r="L273">
        <v>1.4054734028747999</v>
      </c>
      <c r="M273">
        <v>0.24565578803888499</v>
      </c>
      <c r="N273">
        <v>4475</v>
      </c>
      <c r="T273">
        <v>2211929</v>
      </c>
    </row>
    <row r="274" spans="1:20" x14ac:dyDescent="0.3">
      <c r="A274" s="1">
        <v>45486</v>
      </c>
      <c r="B274">
        <v>14</v>
      </c>
      <c r="C274">
        <v>1596.8768988020799</v>
      </c>
      <c r="D274">
        <v>574.65949357971897</v>
      </c>
      <c r="E274">
        <v>1</v>
      </c>
      <c r="F274">
        <v>1</v>
      </c>
      <c r="K274">
        <v>0.43394040399846601</v>
      </c>
      <c r="L274">
        <v>1.3044024458152499</v>
      </c>
      <c r="M274">
        <v>0.315358082643936</v>
      </c>
      <c r="N274">
        <v>1042</v>
      </c>
      <c r="T274">
        <v>558162</v>
      </c>
    </row>
    <row r="275" spans="1:20" x14ac:dyDescent="0.3">
      <c r="A275" s="1">
        <v>45487</v>
      </c>
      <c r="B275">
        <v>99</v>
      </c>
      <c r="C275">
        <v>1814.68535419009</v>
      </c>
      <c r="D275">
        <v>4594.1712669053104</v>
      </c>
      <c r="E275">
        <v>18</v>
      </c>
      <c r="F275">
        <v>13</v>
      </c>
      <c r="K275">
        <v>0.395861328457349</v>
      </c>
      <c r="L275">
        <v>2.09138971371886</v>
      </c>
      <c r="M275">
        <v>0.25009689713232303</v>
      </c>
      <c r="N275">
        <v>7042</v>
      </c>
      <c r="T275">
        <v>4449425</v>
      </c>
    </row>
    <row r="276" spans="1:20" x14ac:dyDescent="0.3">
      <c r="A276" s="1">
        <v>45488</v>
      </c>
      <c r="B276">
        <v>30</v>
      </c>
      <c r="C276">
        <v>1600.38115481861</v>
      </c>
      <c r="D276">
        <v>1200.5172536157099</v>
      </c>
      <c r="E276">
        <v>2</v>
      </c>
      <c r="F276">
        <v>2</v>
      </c>
      <c r="K276">
        <v>0.44758486343429299</v>
      </c>
      <c r="L276">
        <v>1.2967489986315801</v>
      </c>
      <c r="M276">
        <v>0.25011158278656997</v>
      </c>
      <c r="N276">
        <v>2110</v>
      </c>
      <c r="T276">
        <v>621001</v>
      </c>
    </row>
    <row r="277" spans="1:20" x14ac:dyDescent="0.3">
      <c r="A277" s="1">
        <v>45489</v>
      </c>
      <c r="B277">
        <v>143</v>
      </c>
      <c r="C277">
        <v>1957.01100517488</v>
      </c>
      <c r="D277">
        <v>7655.7168545652003</v>
      </c>
      <c r="E277">
        <v>42</v>
      </c>
      <c r="F277">
        <v>42</v>
      </c>
      <c r="K277">
        <v>0.60306777156570801</v>
      </c>
      <c r="L277">
        <v>1.4491295122241299</v>
      </c>
      <c r="M277">
        <v>0.25097810747585098</v>
      </c>
      <c r="N277">
        <v>11459</v>
      </c>
      <c r="T277">
        <v>7016024</v>
      </c>
    </row>
    <row r="278" spans="1:20" x14ac:dyDescent="0.3">
      <c r="A278" s="1">
        <v>45490</v>
      </c>
      <c r="B278">
        <v>84</v>
      </c>
      <c r="C278">
        <v>1817.7157576990401</v>
      </c>
      <c r="D278">
        <v>4083.0503277441398</v>
      </c>
      <c r="E278">
        <v>18</v>
      </c>
      <c r="F278">
        <v>18</v>
      </c>
      <c r="K278">
        <v>0.41306990660223902</v>
      </c>
      <c r="L278">
        <v>1.97601684125823</v>
      </c>
      <c r="M278">
        <v>0.26453298175179502</v>
      </c>
      <c r="N278">
        <v>6091</v>
      </c>
      <c r="T278">
        <v>4518205</v>
      </c>
    </row>
    <row r="279" spans="1:20" x14ac:dyDescent="0.3">
      <c r="A279" s="1">
        <v>45491</v>
      </c>
      <c r="B279">
        <v>10</v>
      </c>
      <c r="C279">
        <v>1619.3279811283201</v>
      </c>
      <c r="D279">
        <v>521.16517549524599</v>
      </c>
      <c r="K279">
        <v>0.69052706409687803</v>
      </c>
      <c r="L279">
        <v>1.32797867794749</v>
      </c>
      <c r="M279">
        <v>0.30448366600104099</v>
      </c>
      <c r="N279">
        <v>984</v>
      </c>
      <c r="T279">
        <v>960751</v>
      </c>
    </row>
    <row r="280" spans="1:20" x14ac:dyDescent="0.3">
      <c r="A280" s="1">
        <v>45492</v>
      </c>
      <c r="B280">
        <v>84</v>
      </c>
      <c r="C280">
        <v>1852.61706127604</v>
      </c>
      <c r="D280">
        <v>4653.8350955036803</v>
      </c>
      <c r="E280">
        <v>18</v>
      </c>
      <c r="F280">
        <v>15</v>
      </c>
      <c r="K280">
        <v>0.47553025732245102</v>
      </c>
      <c r="L280">
        <v>2.9484963348452</v>
      </c>
      <c r="M280">
        <v>0.25011158278656997</v>
      </c>
      <c r="N280">
        <v>7098</v>
      </c>
      <c r="T280">
        <v>5144049</v>
      </c>
    </row>
    <row r="281" spans="1:20" x14ac:dyDescent="0.3">
      <c r="A281" s="1">
        <v>45493</v>
      </c>
      <c r="B281">
        <v>31</v>
      </c>
      <c r="C281">
        <v>1602.0795721274801</v>
      </c>
      <c r="D281">
        <v>1191.4232991926599</v>
      </c>
      <c r="K281">
        <v>0.39804787163027699</v>
      </c>
      <c r="L281">
        <v>0.91633297383082701</v>
      </c>
      <c r="M281">
        <v>0.25011158278656997</v>
      </c>
      <c r="N281">
        <v>2370</v>
      </c>
      <c r="T281">
        <v>651455</v>
      </c>
    </row>
    <row r="282" spans="1:20" x14ac:dyDescent="0.3">
      <c r="A282" s="1">
        <v>45494</v>
      </c>
      <c r="B282">
        <v>96</v>
      </c>
      <c r="C282">
        <v>1819.97739111635</v>
      </c>
      <c r="D282">
        <v>4066.7811267929801</v>
      </c>
      <c r="E282">
        <v>9</v>
      </c>
      <c r="F282">
        <v>9</v>
      </c>
      <c r="K282">
        <v>0.44325665974263601</v>
      </c>
      <c r="L282">
        <v>1.6792616476429501</v>
      </c>
      <c r="M282">
        <v>0.25011158278656997</v>
      </c>
      <c r="N282">
        <v>6267</v>
      </c>
      <c r="T282">
        <v>4558760</v>
      </c>
    </row>
    <row r="283" spans="1:20" x14ac:dyDescent="0.3">
      <c r="A283" s="1">
        <v>45495</v>
      </c>
      <c r="B283">
        <v>20</v>
      </c>
      <c r="C283">
        <v>1619.9681881220899</v>
      </c>
      <c r="D283">
        <v>738.97585101284403</v>
      </c>
      <c r="K283">
        <v>0.34354586464174203</v>
      </c>
      <c r="L283">
        <v>1.1779784653074299</v>
      </c>
      <c r="M283">
        <v>0.28637563177553099</v>
      </c>
      <c r="N283">
        <v>1401</v>
      </c>
      <c r="T283">
        <v>972231</v>
      </c>
    </row>
    <row r="284" spans="1:20" x14ac:dyDescent="0.3">
      <c r="A284" s="1">
        <v>45496</v>
      </c>
      <c r="B284">
        <v>18</v>
      </c>
      <c r="C284">
        <v>1638.59216486589</v>
      </c>
      <c r="D284">
        <v>829.41575526775102</v>
      </c>
      <c r="K284">
        <v>0.51718807044204496</v>
      </c>
      <c r="L284">
        <v>1.0897922890146601</v>
      </c>
      <c r="M284">
        <v>0.24565350570465699</v>
      </c>
      <c r="N284">
        <v>1546</v>
      </c>
      <c r="T284">
        <v>1306193</v>
      </c>
    </row>
    <row r="285" spans="1:20" x14ac:dyDescent="0.3">
      <c r="A285" s="1">
        <v>45497</v>
      </c>
      <c r="B285">
        <v>42</v>
      </c>
      <c r="C285">
        <v>1623.1658985072399</v>
      </c>
      <c r="D285">
        <v>1306.6328182869099</v>
      </c>
      <c r="K285">
        <v>0.486242140283484</v>
      </c>
      <c r="L285">
        <v>1.1449087848303099</v>
      </c>
      <c r="M285">
        <v>0.25011158278656997</v>
      </c>
      <c r="N285">
        <v>2277</v>
      </c>
      <c r="T285">
        <v>1029572</v>
      </c>
    </row>
    <row r="286" spans="1:20" x14ac:dyDescent="0.3">
      <c r="A286" s="1">
        <v>45498</v>
      </c>
      <c r="B286">
        <v>32</v>
      </c>
      <c r="C286">
        <v>1666.08007399594</v>
      </c>
      <c r="D286">
        <v>1144.4340062495401</v>
      </c>
      <c r="K286">
        <v>0.38291315299402501</v>
      </c>
      <c r="L286">
        <v>1.0098631398982301</v>
      </c>
      <c r="M286">
        <v>0.25011158278656997</v>
      </c>
      <c r="N286">
        <v>1972</v>
      </c>
      <c r="T286">
        <v>1799101</v>
      </c>
    </row>
    <row r="287" spans="1:20" x14ac:dyDescent="0.3">
      <c r="A287" s="1">
        <v>45499</v>
      </c>
      <c r="B287">
        <v>71</v>
      </c>
      <c r="C287">
        <v>1705.5930791072101</v>
      </c>
      <c r="D287">
        <v>3482.2355279150902</v>
      </c>
      <c r="E287">
        <v>18</v>
      </c>
      <c r="F287">
        <v>18</v>
      </c>
      <c r="K287">
        <v>0.44168848165925301</v>
      </c>
      <c r="L287">
        <v>1.5816835910687701</v>
      </c>
      <c r="M287">
        <v>0.26098599942946399</v>
      </c>
      <c r="N287">
        <v>5205</v>
      </c>
      <c r="T287">
        <v>2507644</v>
      </c>
    </row>
    <row r="288" spans="1:20" x14ac:dyDescent="0.3">
      <c r="A288" s="1">
        <v>45500</v>
      </c>
      <c r="B288">
        <v>18</v>
      </c>
      <c r="C288">
        <v>1595.5566018647501</v>
      </c>
      <c r="D288">
        <v>718.10208645893601</v>
      </c>
      <c r="K288">
        <v>0.51318163416596896</v>
      </c>
      <c r="L288">
        <v>1.0799336316269501</v>
      </c>
      <c r="M288">
        <v>0.26098599942946399</v>
      </c>
      <c r="N288">
        <v>1287</v>
      </c>
      <c r="T288">
        <v>534487</v>
      </c>
    </row>
    <row r="289" spans="1:20" x14ac:dyDescent="0.3">
      <c r="A289" s="1">
        <v>45501</v>
      </c>
      <c r="B289">
        <v>12</v>
      </c>
      <c r="C289">
        <v>1671.7765544886599</v>
      </c>
      <c r="D289">
        <v>628.04386539008306</v>
      </c>
      <c r="K289">
        <v>0.39037911909030298</v>
      </c>
      <c r="L289">
        <v>1.12365480770457</v>
      </c>
      <c r="M289">
        <v>0.25011158278656997</v>
      </c>
      <c r="N289">
        <v>1183</v>
      </c>
      <c r="T289">
        <v>1901250</v>
      </c>
    </row>
    <row r="290" spans="1:20" x14ac:dyDescent="0.3">
      <c r="A290" s="1">
        <v>45502</v>
      </c>
      <c r="B290">
        <v>105</v>
      </c>
      <c r="C290">
        <v>1810.2657865271401</v>
      </c>
      <c r="D290">
        <v>5069.4501612061104</v>
      </c>
      <c r="E290">
        <v>16</v>
      </c>
      <c r="F290">
        <v>16</v>
      </c>
      <c r="K290">
        <v>0.66855924351604701</v>
      </c>
      <c r="L290">
        <v>1.5114284087658001</v>
      </c>
      <c r="M290">
        <v>0.25011158278656997</v>
      </c>
      <c r="N290">
        <v>7893</v>
      </c>
      <c r="T290">
        <v>4384615</v>
      </c>
    </row>
    <row r="291" spans="1:20" x14ac:dyDescent="0.3">
      <c r="A291" s="1">
        <v>45503</v>
      </c>
      <c r="B291">
        <v>84</v>
      </c>
      <c r="C291">
        <v>1718.14678743228</v>
      </c>
      <c r="D291">
        <v>2943.4211123074701</v>
      </c>
      <c r="E291">
        <v>13</v>
      </c>
      <c r="F291">
        <v>13</v>
      </c>
      <c r="K291">
        <v>0.46391904813951701</v>
      </c>
      <c r="L291">
        <v>1.83029157405792</v>
      </c>
      <c r="M291">
        <v>0.25011158278656997</v>
      </c>
      <c r="N291">
        <v>4773</v>
      </c>
      <c r="R291">
        <v>677822</v>
      </c>
      <c r="T291">
        <v>2007662</v>
      </c>
    </row>
    <row r="292" spans="1:20" x14ac:dyDescent="0.3">
      <c r="A292" s="1">
        <v>45504</v>
      </c>
      <c r="B292">
        <v>15</v>
      </c>
      <c r="C292">
        <v>1587.57779718662</v>
      </c>
      <c r="D292">
        <v>600.934265522288</v>
      </c>
      <c r="E292">
        <v>1</v>
      </c>
      <c r="F292">
        <v>1</v>
      </c>
      <c r="K292">
        <v>0.69715237753909498</v>
      </c>
      <c r="L292">
        <v>1.3021334161328699</v>
      </c>
      <c r="M292">
        <v>0.326232478407951</v>
      </c>
      <c r="N292">
        <v>968</v>
      </c>
      <c r="T292">
        <v>391413</v>
      </c>
    </row>
    <row r="293" spans="1:20" x14ac:dyDescent="0.3">
      <c r="A293" s="1">
        <v>45505</v>
      </c>
      <c r="B293">
        <v>148</v>
      </c>
      <c r="C293">
        <v>2064.2822223421099</v>
      </c>
      <c r="D293">
        <v>8822.8068063359497</v>
      </c>
      <c r="E293">
        <v>62</v>
      </c>
      <c r="F293">
        <v>62</v>
      </c>
      <c r="K293">
        <v>0.53933529127687896</v>
      </c>
      <c r="L293">
        <v>1.5235479106823</v>
      </c>
      <c r="M293">
        <v>0.26098599942946399</v>
      </c>
      <c r="N293">
        <v>13036</v>
      </c>
      <c r="T293">
        <v>8939592</v>
      </c>
    </row>
    <row r="294" spans="1:20" x14ac:dyDescent="0.3">
      <c r="A294" s="1">
        <v>45506</v>
      </c>
      <c r="B294">
        <v>149</v>
      </c>
      <c r="C294">
        <v>1994.6218493250001</v>
      </c>
      <c r="D294">
        <v>7676.4266168402801</v>
      </c>
      <c r="E294">
        <v>49</v>
      </c>
      <c r="F294">
        <v>49</v>
      </c>
      <c r="K294">
        <v>0.70543242869597</v>
      </c>
      <c r="L294">
        <v>1.8691670970632801</v>
      </c>
      <c r="M294">
        <v>0.26092254054535202</v>
      </c>
      <c r="N294">
        <v>11434</v>
      </c>
      <c r="T294">
        <v>7690455</v>
      </c>
    </row>
    <row r="295" spans="1:20" x14ac:dyDescent="0.3">
      <c r="A295" s="1">
        <v>45507</v>
      </c>
      <c r="B295">
        <v>94</v>
      </c>
      <c r="C295">
        <v>1842.92477816528</v>
      </c>
      <c r="D295">
        <v>5263.6722407967</v>
      </c>
      <c r="E295">
        <v>34</v>
      </c>
      <c r="F295">
        <v>34</v>
      </c>
      <c r="K295">
        <v>0.50500899746264405</v>
      </c>
      <c r="L295">
        <v>1.5357454797627099</v>
      </c>
      <c r="M295">
        <v>0.24947105649420201</v>
      </c>
      <c r="N295">
        <v>7679</v>
      </c>
      <c r="T295">
        <v>4970249</v>
      </c>
    </row>
    <row r="296" spans="1:20" x14ac:dyDescent="0.3">
      <c r="A296" s="1">
        <v>45508</v>
      </c>
      <c r="B296">
        <v>195</v>
      </c>
      <c r="C296">
        <v>2078.7590794102298</v>
      </c>
      <c r="D296">
        <v>9231.3043967505091</v>
      </c>
      <c r="E296">
        <v>43</v>
      </c>
      <c r="F296">
        <v>43</v>
      </c>
      <c r="K296">
        <v>0.73375394150039597</v>
      </c>
      <c r="L296">
        <v>1.74876665369523</v>
      </c>
      <c r="M296">
        <v>0.25011158278656997</v>
      </c>
      <c r="N296">
        <v>13755</v>
      </c>
      <c r="R296">
        <v>413747</v>
      </c>
      <c r="T296">
        <v>8756590</v>
      </c>
    </row>
    <row r="297" spans="1:20" x14ac:dyDescent="0.3">
      <c r="A297" s="1">
        <v>45509</v>
      </c>
      <c r="B297">
        <v>211</v>
      </c>
      <c r="C297">
        <v>2169.5754742792001</v>
      </c>
      <c r="D297">
        <v>10435.8058470658</v>
      </c>
      <c r="E297">
        <v>85</v>
      </c>
      <c r="F297">
        <v>85</v>
      </c>
      <c r="K297">
        <v>0.70557261907527602</v>
      </c>
      <c r="L297">
        <v>1.60290847014866</v>
      </c>
      <c r="M297">
        <v>0.25011158278656997</v>
      </c>
      <c r="N297">
        <v>15395</v>
      </c>
      <c r="R297">
        <v>801614</v>
      </c>
      <c r="T297">
        <v>9970179</v>
      </c>
    </row>
    <row r="298" spans="1:20" x14ac:dyDescent="0.3">
      <c r="A298" s="1">
        <v>45510</v>
      </c>
      <c r="B298">
        <v>136</v>
      </c>
      <c r="C298">
        <v>2019.64804860544</v>
      </c>
      <c r="D298">
        <v>2720.95269387699</v>
      </c>
      <c r="E298">
        <v>87</v>
      </c>
      <c r="F298">
        <v>87</v>
      </c>
      <c r="K298">
        <v>0.53480104458932798</v>
      </c>
      <c r="L298">
        <v>1.4196377041574999</v>
      </c>
      <c r="M298">
        <v>0.25011158278656997</v>
      </c>
      <c r="N298">
        <v>4075</v>
      </c>
      <c r="R298">
        <v>4846208</v>
      </c>
      <c r="T298">
        <v>2955062</v>
      </c>
    </row>
    <row r="299" spans="1:20" x14ac:dyDescent="0.3">
      <c r="A299" s="1">
        <v>45511</v>
      </c>
      <c r="B299">
        <v>2</v>
      </c>
      <c r="C299">
        <v>1580.8063062818201</v>
      </c>
      <c r="D299">
        <v>130.49299971473201</v>
      </c>
      <c r="K299">
        <v>0.30568836825110202</v>
      </c>
      <c r="L299">
        <v>0.32623248906044</v>
      </c>
      <c r="M299">
        <v>0.271860416072358</v>
      </c>
      <c r="N299">
        <v>314</v>
      </c>
      <c r="T299">
        <v>269987</v>
      </c>
    </row>
    <row r="300" spans="1:20" x14ac:dyDescent="0.3">
      <c r="A300" s="1">
        <v>45512</v>
      </c>
      <c r="B300">
        <v>72</v>
      </c>
      <c r="C300">
        <v>1786.24817567078</v>
      </c>
      <c r="D300">
        <v>6011.6760738638304</v>
      </c>
      <c r="E300">
        <v>73</v>
      </c>
      <c r="F300">
        <v>47</v>
      </c>
      <c r="K300">
        <v>0.54075968480473802</v>
      </c>
      <c r="L300">
        <v>2.2882111694973801</v>
      </c>
      <c r="M300">
        <v>0.29360924935814697</v>
      </c>
      <c r="N300">
        <v>7864</v>
      </c>
      <c r="T300">
        <v>3626331</v>
      </c>
    </row>
    <row r="301" spans="1:20" x14ac:dyDescent="0.3">
      <c r="A301" s="1">
        <v>45513</v>
      </c>
      <c r="B301">
        <v>145</v>
      </c>
      <c r="C301">
        <v>2004.9797868385999</v>
      </c>
      <c r="D301">
        <v>4938.4710734525997</v>
      </c>
      <c r="E301">
        <v>68</v>
      </c>
      <c r="F301">
        <v>68</v>
      </c>
      <c r="K301">
        <v>0.57499558765439596</v>
      </c>
      <c r="L301">
        <v>1.5115787732678201</v>
      </c>
      <c r="M301">
        <v>0.23551511936420699</v>
      </c>
      <c r="N301">
        <v>7371</v>
      </c>
      <c r="R301">
        <v>2770647</v>
      </c>
      <c r="T301">
        <v>4912332</v>
      </c>
    </row>
    <row r="302" spans="1:20" x14ac:dyDescent="0.3">
      <c r="A302" s="1">
        <v>45514</v>
      </c>
      <c r="B302">
        <v>159</v>
      </c>
      <c r="C302">
        <v>2060.1514963659101</v>
      </c>
      <c r="D302">
        <v>5004.4643509080997</v>
      </c>
      <c r="E302">
        <v>82</v>
      </c>
      <c r="F302">
        <v>82</v>
      </c>
      <c r="K302">
        <v>0.47592902809929799</v>
      </c>
      <c r="L302">
        <v>1.5678838352940501</v>
      </c>
      <c r="M302">
        <v>0.25011158278656997</v>
      </c>
      <c r="N302">
        <v>7616</v>
      </c>
      <c r="R302">
        <v>3637083</v>
      </c>
      <c r="T302">
        <v>4974804</v>
      </c>
    </row>
    <row r="303" spans="1:20" x14ac:dyDescent="0.3">
      <c r="A303" s="1">
        <v>45515</v>
      </c>
      <c r="B303">
        <v>74</v>
      </c>
      <c r="C303">
        <v>1780.3839477741001</v>
      </c>
      <c r="D303">
        <v>2132.4165162488698</v>
      </c>
      <c r="E303">
        <v>44</v>
      </c>
      <c r="F303">
        <v>44</v>
      </c>
      <c r="K303">
        <v>0.52386327970409596</v>
      </c>
      <c r="L303">
        <v>1.4367065498526901</v>
      </c>
      <c r="M303">
        <v>0.26975183701688199</v>
      </c>
      <c r="N303">
        <v>3418</v>
      </c>
      <c r="R303">
        <v>2075309</v>
      </c>
      <c r="T303">
        <v>1628748</v>
      </c>
    </row>
    <row r="304" spans="1:20" x14ac:dyDescent="0.3">
      <c r="A304" s="1">
        <v>45516</v>
      </c>
      <c r="B304">
        <v>142</v>
      </c>
      <c r="C304">
        <v>1927.97892611257</v>
      </c>
      <c r="D304">
        <v>5984.1076195775804</v>
      </c>
      <c r="E304">
        <v>58</v>
      </c>
      <c r="F304">
        <v>58</v>
      </c>
      <c r="K304">
        <v>0.517274626110512</v>
      </c>
      <c r="L304">
        <v>1.5704026830965501</v>
      </c>
      <c r="M304">
        <v>0.25011158278656997</v>
      </c>
      <c r="N304">
        <v>9299</v>
      </c>
      <c r="R304">
        <v>1973671</v>
      </c>
      <c r="T304">
        <v>4384118</v>
      </c>
    </row>
    <row r="305" spans="1:21" x14ac:dyDescent="0.3">
      <c r="A305" s="1">
        <v>45517</v>
      </c>
      <c r="B305">
        <v>138</v>
      </c>
      <c r="C305">
        <v>1943.3837879463099</v>
      </c>
      <c r="D305">
        <v>4627.4864534566696</v>
      </c>
      <c r="E305">
        <v>39</v>
      </c>
      <c r="F305">
        <v>39</v>
      </c>
      <c r="K305">
        <v>0.59707946362949704</v>
      </c>
      <c r="L305">
        <v>1.7454818308989</v>
      </c>
      <c r="M305">
        <v>0.25011158278656997</v>
      </c>
      <c r="N305">
        <v>7399</v>
      </c>
      <c r="R305">
        <v>1936583</v>
      </c>
      <c r="T305">
        <v>4700036</v>
      </c>
    </row>
    <row r="306" spans="1:21" x14ac:dyDescent="0.3">
      <c r="A306" s="1">
        <v>45518</v>
      </c>
      <c r="B306">
        <v>153</v>
      </c>
      <c r="C306">
        <v>1833.57268577371</v>
      </c>
      <c r="D306">
        <v>5941.1588333974996</v>
      </c>
      <c r="E306">
        <v>20</v>
      </c>
      <c r="F306">
        <v>20</v>
      </c>
      <c r="K306">
        <v>0.46665444128556999</v>
      </c>
      <c r="L306">
        <v>1.7315446034719899</v>
      </c>
      <c r="M306">
        <v>0.25011158278656997</v>
      </c>
      <c r="N306">
        <v>9021</v>
      </c>
      <c r="T306">
        <v>4802550</v>
      </c>
    </row>
    <row r="307" spans="1:21" x14ac:dyDescent="0.3">
      <c r="A307" s="1">
        <v>45519</v>
      </c>
      <c r="B307">
        <v>56</v>
      </c>
      <c r="C307">
        <v>1701.6167409304201</v>
      </c>
      <c r="D307">
        <v>2432.2545246565201</v>
      </c>
      <c r="E307">
        <v>21</v>
      </c>
      <c r="F307">
        <v>21</v>
      </c>
      <c r="K307">
        <v>0.532374352622076</v>
      </c>
      <c r="L307">
        <v>1.3882491958029599</v>
      </c>
      <c r="M307">
        <v>0.29360924935814697</v>
      </c>
      <c r="N307">
        <v>3641</v>
      </c>
      <c r="R307">
        <v>546820</v>
      </c>
      <c r="T307">
        <v>1851386</v>
      </c>
    </row>
    <row r="308" spans="1:21" x14ac:dyDescent="0.3">
      <c r="A308" s="1">
        <v>45520</v>
      </c>
      <c r="B308">
        <v>165</v>
      </c>
      <c r="C308">
        <v>2074.1170331594199</v>
      </c>
      <c r="D308">
        <v>5976.2830379432799</v>
      </c>
      <c r="E308">
        <v>89</v>
      </c>
      <c r="F308">
        <v>89</v>
      </c>
      <c r="K308">
        <v>0.56312852110464795</v>
      </c>
      <c r="L308">
        <v>1.4247688554521301</v>
      </c>
      <c r="M308">
        <v>0.25640984563242197</v>
      </c>
      <c r="N308">
        <v>8953</v>
      </c>
      <c r="R308">
        <v>3429135</v>
      </c>
      <c r="T308">
        <v>5447683</v>
      </c>
    </row>
    <row r="309" spans="1:21" x14ac:dyDescent="0.3">
      <c r="A309" s="1">
        <v>45521</v>
      </c>
      <c r="B309">
        <v>85</v>
      </c>
      <c r="C309">
        <v>1804.0504331080599</v>
      </c>
      <c r="D309">
        <v>4439.3987293977898</v>
      </c>
      <c r="E309">
        <v>18</v>
      </c>
      <c r="F309">
        <v>18</v>
      </c>
      <c r="K309">
        <v>0.53462644246956903</v>
      </c>
      <c r="L309">
        <v>1.5268284310986</v>
      </c>
      <c r="M309">
        <v>0.28273483271525301</v>
      </c>
      <c r="N309">
        <v>6732</v>
      </c>
      <c r="T309">
        <v>3852531</v>
      </c>
      <c r="U309">
        <v>183674</v>
      </c>
    </row>
    <row r="310" spans="1:21" x14ac:dyDescent="0.3">
      <c r="A310" s="1">
        <v>45522</v>
      </c>
      <c r="B310">
        <v>134</v>
      </c>
      <c r="C310">
        <v>1975.83950751097</v>
      </c>
      <c r="D310">
        <v>4363.2458769897803</v>
      </c>
      <c r="E310">
        <v>58</v>
      </c>
      <c r="F310">
        <v>58</v>
      </c>
      <c r="K310">
        <v>0.53505338201149899</v>
      </c>
      <c r="L310">
        <v>1.5851051519155099</v>
      </c>
      <c r="M310">
        <v>0.27007720416099301</v>
      </c>
      <c r="N310">
        <v>6485</v>
      </c>
      <c r="R310">
        <v>2502478</v>
      </c>
      <c r="T310">
        <v>4676662</v>
      </c>
    </row>
    <row r="311" spans="1:21" x14ac:dyDescent="0.3">
      <c r="A311" s="1">
        <v>45523</v>
      </c>
      <c r="B311">
        <v>132</v>
      </c>
      <c r="C311">
        <v>1920.3059393328299</v>
      </c>
      <c r="D311">
        <v>3707.1267109025998</v>
      </c>
      <c r="E311">
        <v>47</v>
      </c>
      <c r="F311">
        <v>47</v>
      </c>
      <c r="K311">
        <v>0.48008223782077403</v>
      </c>
      <c r="L311">
        <v>1.2514167553389799</v>
      </c>
      <c r="M311">
        <v>0.25409148062502002</v>
      </c>
      <c r="N311">
        <v>5893</v>
      </c>
      <c r="R311">
        <v>2685512</v>
      </c>
      <c r="T311">
        <v>3485048</v>
      </c>
    </row>
    <row r="312" spans="1:21" x14ac:dyDescent="0.3">
      <c r="A312" s="1">
        <v>45524</v>
      </c>
      <c r="B312">
        <v>152</v>
      </c>
      <c r="C312">
        <v>2032.41423345775</v>
      </c>
      <c r="D312">
        <v>3282.8536254228702</v>
      </c>
      <c r="E312">
        <v>76</v>
      </c>
      <c r="F312">
        <v>76</v>
      </c>
      <c r="K312">
        <v>0.53625247665437004</v>
      </c>
      <c r="L312">
        <v>1.62143294034374</v>
      </c>
      <c r="M312">
        <v>0.24929156752270701</v>
      </c>
      <c r="N312">
        <v>5482</v>
      </c>
      <c r="R312">
        <v>4572431</v>
      </c>
      <c r="T312">
        <v>3476851</v>
      </c>
    </row>
    <row r="313" spans="1:21" x14ac:dyDescent="0.3">
      <c r="A313" s="1">
        <v>45525</v>
      </c>
      <c r="B313">
        <v>131</v>
      </c>
      <c r="C313">
        <v>1920.8933387151801</v>
      </c>
      <c r="D313">
        <v>4677.0140043594502</v>
      </c>
      <c r="E313">
        <v>51</v>
      </c>
      <c r="F313">
        <v>51</v>
      </c>
      <c r="K313">
        <v>0.57903075400050896</v>
      </c>
      <c r="L313">
        <v>1.4583891870703201</v>
      </c>
      <c r="M313">
        <v>0.25215968208991901</v>
      </c>
      <c r="N313">
        <v>7158</v>
      </c>
      <c r="R313">
        <v>2394686</v>
      </c>
      <c r="T313">
        <v>3806690</v>
      </c>
    </row>
    <row r="314" spans="1:21" x14ac:dyDescent="0.3">
      <c r="A314" s="1">
        <v>45526</v>
      </c>
      <c r="B314">
        <v>124</v>
      </c>
      <c r="C314">
        <v>1890.8056677207401</v>
      </c>
      <c r="D314">
        <v>5085.4261980909896</v>
      </c>
      <c r="E314">
        <v>55</v>
      </c>
      <c r="F314">
        <v>55</v>
      </c>
      <c r="K314">
        <v>0.50326973027305599</v>
      </c>
      <c r="L314">
        <v>1.5932730099336501</v>
      </c>
      <c r="M314">
        <v>0.24508296567711399</v>
      </c>
      <c r="N314">
        <v>7621</v>
      </c>
      <c r="R314">
        <v>1742804</v>
      </c>
      <c r="T314">
        <v>3964505</v>
      </c>
    </row>
    <row r="315" spans="1:21" x14ac:dyDescent="0.3">
      <c r="A315" s="1">
        <v>45527</v>
      </c>
      <c r="B315">
        <v>82</v>
      </c>
      <c r="C315">
        <v>1805.4407189814699</v>
      </c>
      <c r="D315">
        <v>2748.8460133302901</v>
      </c>
      <c r="E315">
        <v>24</v>
      </c>
      <c r="F315">
        <v>24</v>
      </c>
      <c r="K315">
        <v>0.50332628406809998</v>
      </c>
      <c r="L315">
        <v>1.4054326321530199</v>
      </c>
      <c r="M315">
        <v>0.26098599942946399</v>
      </c>
      <c r="N315">
        <v>4251</v>
      </c>
      <c r="R315">
        <v>1163004</v>
      </c>
      <c r="T315">
        <v>3053986</v>
      </c>
    </row>
    <row r="316" spans="1:21" x14ac:dyDescent="0.3">
      <c r="A316" s="1">
        <v>45528</v>
      </c>
      <c r="B316">
        <v>186</v>
      </c>
      <c r="C316">
        <v>2154.5182332158101</v>
      </c>
      <c r="D316">
        <v>9545.6033820010907</v>
      </c>
      <c r="E316">
        <v>76</v>
      </c>
      <c r="F316">
        <v>76</v>
      </c>
      <c r="K316">
        <v>0.65349722968776403</v>
      </c>
      <c r="L316">
        <v>1.49706922115376</v>
      </c>
      <c r="M316">
        <v>0.248915701927058</v>
      </c>
      <c r="N316">
        <v>14081</v>
      </c>
      <c r="R316">
        <v>978254</v>
      </c>
      <c r="T316">
        <v>9159302</v>
      </c>
      <c r="U316">
        <v>153667</v>
      </c>
    </row>
    <row r="317" spans="1:21" x14ac:dyDescent="0.3">
      <c r="A317" s="1">
        <v>45529</v>
      </c>
      <c r="B317">
        <v>27</v>
      </c>
      <c r="C317">
        <v>1634.1068974488901</v>
      </c>
      <c r="D317">
        <v>1130.8914435588299</v>
      </c>
      <c r="E317">
        <v>2</v>
      </c>
      <c r="F317">
        <v>2</v>
      </c>
      <c r="K317">
        <v>0.65369435591965597</v>
      </c>
      <c r="L317">
        <v>1.2354227932670201</v>
      </c>
      <c r="M317">
        <v>0.28273483271525301</v>
      </c>
      <c r="N317">
        <v>1784</v>
      </c>
      <c r="T317">
        <v>1225765</v>
      </c>
    </row>
    <row r="318" spans="1:21" x14ac:dyDescent="0.3">
      <c r="A318" s="1">
        <v>45530</v>
      </c>
      <c r="B318">
        <v>218</v>
      </c>
      <c r="C318">
        <v>2134.6605308817202</v>
      </c>
      <c r="D318">
        <v>9788.0824542196297</v>
      </c>
      <c r="E318">
        <v>71</v>
      </c>
      <c r="F318">
        <v>71</v>
      </c>
      <c r="K318">
        <v>0.65024631030755298</v>
      </c>
      <c r="L318">
        <v>1.47887554764331</v>
      </c>
      <c r="M318">
        <v>0.25830786258570498</v>
      </c>
      <c r="N318">
        <v>14651</v>
      </c>
      <c r="R318">
        <v>1757818</v>
      </c>
      <c r="T318">
        <v>8321205</v>
      </c>
    </row>
    <row r="319" spans="1:21" x14ac:dyDescent="0.3">
      <c r="A319" s="1">
        <v>45531</v>
      </c>
      <c r="B319">
        <v>127</v>
      </c>
      <c r="C319">
        <v>1975.39543875291</v>
      </c>
      <c r="D319">
        <v>4761.2435261896399</v>
      </c>
      <c r="E319">
        <v>55</v>
      </c>
      <c r="F319">
        <v>55</v>
      </c>
      <c r="K319">
        <v>0.42238947229614299</v>
      </c>
      <c r="L319">
        <v>1.52634296365397</v>
      </c>
      <c r="M319">
        <v>0.250010343545708</v>
      </c>
      <c r="N319">
        <v>7393</v>
      </c>
      <c r="R319">
        <v>2189926</v>
      </c>
      <c r="T319">
        <v>5003049</v>
      </c>
    </row>
    <row r="320" spans="1:21" x14ac:dyDescent="0.3">
      <c r="A320" s="1">
        <v>45532</v>
      </c>
      <c r="B320">
        <v>139</v>
      </c>
      <c r="C320">
        <v>1930.44580370789</v>
      </c>
      <c r="D320">
        <v>6627.3618024069601</v>
      </c>
      <c r="E320">
        <v>59</v>
      </c>
      <c r="F320">
        <v>59</v>
      </c>
      <c r="K320">
        <v>0.68343472613090395</v>
      </c>
      <c r="L320">
        <v>1.8553719630641199</v>
      </c>
      <c r="M320">
        <v>0.26098599942946399</v>
      </c>
      <c r="N320">
        <v>9722</v>
      </c>
      <c r="R320">
        <v>1093181</v>
      </c>
      <c r="T320">
        <v>5370247</v>
      </c>
    </row>
    <row r="321" spans="1:21" x14ac:dyDescent="0.3">
      <c r="A321" s="1">
        <v>45533</v>
      </c>
      <c r="B321">
        <v>131</v>
      </c>
      <c r="C321">
        <v>1982.45573601505</v>
      </c>
      <c r="D321">
        <v>4576.1344012011996</v>
      </c>
      <c r="E321">
        <v>64</v>
      </c>
      <c r="F321">
        <v>64</v>
      </c>
      <c r="K321">
        <v>0.479099575993715</v>
      </c>
      <c r="L321">
        <v>1.72224950580257</v>
      </c>
      <c r="M321">
        <v>0.25011158278656997</v>
      </c>
      <c r="N321">
        <v>6776</v>
      </c>
      <c r="R321">
        <v>2696408</v>
      </c>
      <c r="T321">
        <v>4587851</v>
      </c>
    </row>
    <row r="322" spans="1:21" x14ac:dyDescent="0.3">
      <c r="A322" s="1">
        <v>45534</v>
      </c>
      <c r="B322">
        <v>142</v>
      </c>
      <c r="C322">
        <v>1980.5151014385399</v>
      </c>
      <c r="D322">
        <v>7423.9294071654203</v>
      </c>
      <c r="E322">
        <v>57</v>
      </c>
      <c r="F322">
        <v>57</v>
      </c>
      <c r="K322">
        <v>0.59028430017634304</v>
      </c>
      <c r="L322">
        <v>2.2365855954874001</v>
      </c>
      <c r="M322">
        <v>0.25011158278656997</v>
      </c>
      <c r="N322">
        <v>10884</v>
      </c>
      <c r="R322">
        <v>900530</v>
      </c>
      <c r="T322">
        <v>5887672</v>
      </c>
      <c r="U322">
        <v>256101</v>
      </c>
    </row>
    <row r="323" spans="1:21" x14ac:dyDescent="0.3">
      <c r="A323" s="1">
        <v>45535</v>
      </c>
      <c r="B323">
        <v>89</v>
      </c>
      <c r="C323">
        <v>1910.6087675229101</v>
      </c>
      <c r="D323">
        <v>2994.65548578782</v>
      </c>
      <c r="E323">
        <v>41</v>
      </c>
      <c r="F323">
        <v>41</v>
      </c>
      <c r="K323">
        <v>0.417440143613236</v>
      </c>
      <c r="L323">
        <v>1.47204461919483</v>
      </c>
      <c r="M323">
        <v>0.26816314020702198</v>
      </c>
      <c r="N323">
        <v>4667</v>
      </c>
      <c r="R323">
        <v>2008372</v>
      </c>
      <c r="T323">
        <v>4035520</v>
      </c>
    </row>
    <row r="324" spans="1:21" x14ac:dyDescent="0.3">
      <c r="A324" s="1">
        <v>45536</v>
      </c>
      <c r="B324">
        <v>27</v>
      </c>
      <c r="C324">
        <v>1641.39290903236</v>
      </c>
      <c r="D324">
        <v>1657.15251765059</v>
      </c>
      <c r="E324">
        <v>4</v>
      </c>
      <c r="F324">
        <v>4</v>
      </c>
      <c r="K324">
        <v>0.67072505337275701</v>
      </c>
      <c r="L324">
        <v>1.3886876057413799</v>
      </c>
      <c r="M324">
        <v>0.29360924935814697</v>
      </c>
      <c r="N324">
        <v>2428</v>
      </c>
      <c r="T324">
        <v>1356414</v>
      </c>
    </row>
    <row r="325" spans="1:21" x14ac:dyDescent="0.3">
      <c r="A325" s="1">
        <v>45537</v>
      </c>
      <c r="B325">
        <v>101</v>
      </c>
      <c r="C325">
        <v>1894.4140706793801</v>
      </c>
      <c r="D325">
        <v>3501.6811619370201</v>
      </c>
      <c r="E325">
        <v>51</v>
      </c>
      <c r="F325">
        <v>51</v>
      </c>
      <c r="K325">
        <v>0.59624524806788004</v>
      </c>
      <c r="L325">
        <v>1.46885244837503</v>
      </c>
      <c r="M325">
        <v>0.26291326063561998</v>
      </c>
      <c r="N325">
        <v>5397</v>
      </c>
      <c r="R325">
        <v>2312744</v>
      </c>
      <c r="T325">
        <v>3419524</v>
      </c>
    </row>
    <row r="326" spans="1:21" x14ac:dyDescent="0.3">
      <c r="A326" s="1">
        <v>45538</v>
      </c>
      <c r="B326">
        <v>148</v>
      </c>
      <c r="C326">
        <v>1992.1079614442499</v>
      </c>
      <c r="D326">
        <v>7355.4844235059199</v>
      </c>
      <c r="E326">
        <v>57</v>
      </c>
      <c r="F326">
        <v>57</v>
      </c>
      <c r="K326">
        <v>0.72900128184750701</v>
      </c>
      <c r="L326">
        <v>1.8014786939286001</v>
      </c>
      <c r="M326">
        <v>0.29360924935814697</v>
      </c>
      <c r="N326">
        <v>10860</v>
      </c>
      <c r="R326">
        <v>904368</v>
      </c>
      <c r="T326">
        <v>6677944</v>
      </c>
    </row>
    <row r="327" spans="1:21" x14ac:dyDescent="0.3">
      <c r="A327" s="1">
        <v>45539</v>
      </c>
      <c r="B327">
        <v>96</v>
      </c>
      <c r="C327">
        <v>1898.3527385155701</v>
      </c>
      <c r="D327">
        <v>3335.71874154125</v>
      </c>
      <c r="E327">
        <v>40</v>
      </c>
      <c r="F327">
        <v>40</v>
      </c>
      <c r="K327">
        <v>0.42128782733912901</v>
      </c>
      <c r="L327">
        <v>1.41040210106929</v>
      </c>
      <c r="M327">
        <v>0.25127376963627901</v>
      </c>
      <c r="N327">
        <v>5130</v>
      </c>
      <c r="R327">
        <v>1623810</v>
      </c>
      <c r="T327">
        <v>4227127</v>
      </c>
    </row>
    <row r="328" spans="1:21" x14ac:dyDescent="0.3">
      <c r="A328" s="1">
        <v>45540</v>
      </c>
      <c r="B328">
        <v>160</v>
      </c>
      <c r="C328">
        <v>1945.7666957592201</v>
      </c>
      <c r="D328">
        <v>6405.9524153517696</v>
      </c>
      <c r="E328">
        <v>47</v>
      </c>
      <c r="F328">
        <v>47</v>
      </c>
      <c r="K328">
        <v>0.59016656607977303</v>
      </c>
      <c r="L328">
        <v>1.5204292174096199</v>
      </c>
      <c r="M328">
        <v>0.26098599942946399</v>
      </c>
      <c r="N328">
        <v>9761</v>
      </c>
      <c r="R328">
        <v>1578408</v>
      </c>
      <c r="T328">
        <v>5125914</v>
      </c>
    </row>
    <row r="329" spans="1:21" x14ac:dyDescent="0.3">
      <c r="A329" s="1">
        <v>45541</v>
      </c>
      <c r="B329">
        <v>112</v>
      </c>
      <c r="C329">
        <v>1926.7591987456201</v>
      </c>
      <c r="D329">
        <v>5186.2514439408196</v>
      </c>
      <c r="E329">
        <v>45</v>
      </c>
      <c r="F329">
        <v>45</v>
      </c>
      <c r="K329">
        <v>0.60326363524349103</v>
      </c>
      <c r="L329">
        <v>1.4905027039666301</v>
      </c>
      <c r="M329">
        <v>0.25011158278656997</v>
      </c>
      <c r="N329">
        <v>7671</v>
      </c>
      <c r="R329">
        <v>1093454</v>
      </c>
      <c r="T329">
        <v>5303846</v>
      </c>
    </row>
    <row r="330" spans="1:21" x14ac:dyDescent="0.3">
      <c r="A330" s="1">
        <v>45542</v>
      </c>
      <c r="B330">
        <v>63</v>
      </c>
      <c r="C330">
        <v>1843.84368998387</v>
      </c>
      <c r="D330">
        <v>1345.38107861653</v>
      </c>
      <c r="E330">
        <v>34</v>
      </c>
      <c r="F330">
        <v>34</v>
      </c>
      <c r="K330">
        <v>0.432887519719449</v>
      </c>
      <c r="L330">
        <v>1.41174119657826</v>
      </c>
      <c r="M330">
        <v>0.29360924935814697</v>
      </c>
      <c r="N330">
        <v>2314</v>
      </c>
      <c r="R330">
        <v>2180674</v>
      </c>
      <c r="T330">
        <v>2653984</v>
      </c>
    </row>
    <row r="331" spans="1:21" x14ac:dyDescent="0.3">
      <c r="A331" s="1">
        <v>45543</v>
      </c>
      <c r="B331">
        <v>104</v>
      </c>
      <c r="C331">
        <v>1817.4838904074099</v>
      </c>
      <c r="D331">
        <v>4431.72304833821</v>
      </c>
      <c r="E331">
        <v>20</v>
      </c>
      <c r="F331">
        <v>20</v>
      </c>
      <c r="K331">
        <v>0.55077289569258203</v>
      </c>
      <c r="L331">
        <v>1.9753696495434401</v>
      </c>
      <c r="M331">
        <v>0.24890044502238801</v>
      </c>
      <c r="N331">
        <v>6885</v>
      </c>
      <c r="R331">
        <v>646956</v>
      </c>
      <c r="T331">
        <v>3821976</v>
      </c>
    </row>
    <row r="332" spans="1:21" x14ac:dyDescent="0.3">
      <c r="A332" s="1">
        <v>45544</v>
      </c>
      <c r="B332">
        <v>157</v>
      </c>
      <c r="C332">
        <v>2039.6734127274799</v>
      </c>
      <c r="D332">
        <v>6080.6600795138302</v>
      </c>
      <c r="E332">
        <v>56</v>
      </c>
      <c r="F332">
        <v>56</v>
      </c>
      <c r="K332">
        <v>0.64618570244574203</v>
      </c>
      <c r="L332">
        <v>1.58589023406421</v>
      </c>
      <c r="M332">
        <v>0.271860416072358</v>
      </c>
      <c r="N332">
        <v>9408</v>
      </c>
      <c r="R332">
        <v>2182632</v>
      </c>
      <c r="T332">
        <v>6163476</v>
      </c>
    </row>
    <row r="333" spans="1:21" x14ac:dyDescent="0.3">
      <c r="A333" s="1">
        <v>45545</v>
      </c>
      <c r="B333">
        <v>184</v>
      </c>
      <c r="C333">
        <v>2185.13336368522</v>
      </c>
      <c r="D333">
        <v>7850.5660383387403</v>
      </c>
      <c r="E333">
        <v>115</v>
      </c>
      <c r="F333">
        <v>115</v>
      </c>
      <c r="K333">
        <v>0.45194781659400901</v>
      </c>
      <c r="L333">
        <v>1.5024010130444201</v>
      </c>
      <c r="M333">
        <v>0.25011158278656997</v>
      </c>
      <c r="N333">
        <v>11460</v>
      </c>
      <c r="R333">
        <v>3318781</v>
      </c>
      <c r="T333">
        <v>7556456</v>
      </c>
    </row>
    <row r="334" spans="1:21" x14ac:dyDescent="0.3">
      <c r="A334" s="1">
        <v>45546</v>
      </c>
      <c r="B334">
        <v>118</v>
      </c>
      <c r="C334">
        <v>1895.8106702846501</v>
      </c>
      <c r="D334">
        <v>4110.7038166983502</v>
      </c>
      <c r="E334">
        <v>45</v>
      </c>
      <c r="F334">
        <v>45</v>
      </c>
      <c r="K334">
        <v>0.54081686397600004</v>
      </c>
      <c r="L334">
        <v>1.39353205019382</v>
      </c>
      <c r="M334">
        <v>0.28273483271525301</v>
      </c>
      <c r="N334">
        <v>6349</v>
      </c>
      <c r="R334">
        <v>2181054</v>
      </c>
      <c r="T334">
        <v>3585440</v>
      </c>
    </row>
    <row r="335" spans="1:21" x14ac:dyDescent="0.3">
      <c r="A335" s="1">
        <v>45547</v>
      </c>
      <c r="B335">
        <v>151</v>
      </c>
      <c r="C335">
        <v>2008.4660918805901</v>
      </c>
      <c r="D335">
        <v>6610.2009039322402</v>
      </c>
      <c r="E335">
        <v>65</v>
      </c>
      <c r="F335">
        <v>64</v>
      </c>
      <c r="K335">
        <v>0.60414981910986298</v>
      </c>
      <c r="L335">
        <v>2.0593529445756902</v>
      </c>
      <c r="M335">
        <v>0.26098599942946399</v>
      </c>
      <c r="N335">
        <v>9961</v>
      </c>
      <c r="R335">
        <v>1777841</v>
      </c>
      <c r="T335">
        <v>5844163</v>
      </c>
      <c r="U335">
        <v>84156</v>
      </c>
    </row>
    <row r="336" spans="1:21" x14ac:dyDescent="0.3">
      <c r="A336" s="1">
        <v>45548</v>
      </c>
      <c r="B336">
        <v>103</v>
      </c>
      <c r="C336">
        <v>1854.2227994693301</v>
      </c>
      <c r="D336">
        <v>5239.3871983839599</v>
      </c>
      <c r="E336">
        <v>35</v>
      </c>
      <c r="F336">
        <v>35</v>
      </c>
      <c r="K336">
        <v>0.43385231222718601</v>
      </c>
      <c r="L336">
        <v>1.5008823392408199</v>
      </c>
      <c r="M336">
        <v>0.25774089969328201</v>
      </c>
      <c r="N336">
        <v>8125</v>
      </c>
      <c r="R336">
        <v>473141</v>
      </c>
      <c r="T336">
        <v>4666709</v>
      </c>
    </row>
    <row r="337" spans="1:21" x14ac:dyDescent="0.3">
      <c r="A337" s="1">
        <v>45549</v>
      </c>
      <c r="B337">
        <v>149</v>
      </c>
      <c r="C337">
        <v>2033.12317003925</v>
      </c>
      <c r="D337">
        <v>4548.0224549966797</v>
      </c>
      <c r="E337">
        <v>60</v>
      </c>
      <c r="F337">
        <v>60</v>
      </c>
      <c r="K337">
        <v>0.44934870382039299</v>
      </c>
      <c r="L337">
        <v>1.54034039638356</v>
      </c>
      <c r="M337">
        <v>0.24568079035104801</v>
      </c>
      <c r="N337">
        <v>7603</v>
      </c>
      <c r="R337">
        <v>3304195</v>
      </c>
      <c r="T337">
        <v>4846241</v>
      </c>
    </row>
    <row r="338" spans="1:21" x14ac:dyDescent="0.3">
      <c r="A338" s="1">
        <v>45550</v>
      </c>
      <c r="B338">
        <v>222</v>
      </c>
      <c r="C338">
        <v>2207.7265033728499</v>
      </c>
      <c r="D338">
        <v>8952.6357260634795</v>
      </c>
      <c r="E338">
        <v>144</v>
      </c>
      <c r="F338">
        <v>125</v>
      </c>
      <c r="K338">
        <v>0.64815665488706398</v>
      </c>
      <c r="L338">
        <v>2.3929193883724298</v>
      </c>
      <c r="M338">
        <v>0.25011158278656997</v>
      </c>
      <c r="N338">
        <v>12879</v>
      </c>
      <c r="R338">
        <v>4747291</v>
      </c>
      <c r="T338">
        <v>6406929</v>
      </c>
    </row>
    <row r="339" spans="1:21" x14ac:dyDescent="0.3">
      <c r="A339" s="1">
        <v>45551</v>
      </c>
      <c r="B339">
        <v>155</v>
      </c>
      <c r="C339">
        <v>1875.3916182596599</v>
      </c>
      <c r="D339">
        <v>6003.2596230484696</v>
      </c>
      <c r="E339">
        <v>50</v>
      </c>
      <c r="F339">
        <v>50</v>
      </c>
      <c r="K339">
        <v>0.53917810815246303</v>
      </c>
      <c r="L339">
        <v>1.6442827027740801</v>
      </c>
      <c r="M339">
        <v>0.25011158278656997</v>
      </c>
      <c r="N339">
        <v>9182</v>
      </c>
      <c r="R339">
        <v>1359799</v>
      </c>
      <c r="T339">
        <v>4097816</v>
      </c>
    </row>
    <row r="340" spans="1:21" x14ac:dyDescent="0.3">
      <c r="A340" s="1">
        <v>45552</v>
      </c>
      <c r="B340">
        <v>132</v>
      </c>
      <c r="C340">
        <v>1951.68991811152</v>
      </c>
      <c r="D340">
        <v>4124.0011900723703</v>
      </c>
      <c r="E340">
        <v>70</v>
      </c>
      <c r="F340">
        <v>70</v>
      </c>
      <c r="K340">
        <v>0.52225963781548401</v>
      </c>
      <c r="L340">
        <v>1.4219186786058999</v>
      </c>
      <c r="M340">
        <v>0.28273483271525301</v>
      </c>
      <c r="N340">
        <v>6302</v>
      </c>
      <c r="R340">
        <v>3106678</v>
      </c>
      <c r="T340">
        <v>3597288</v>
      </c>
    </row>
    <row r="341" spans="1:21" x14ac:dyDescent="0.3">
      <c r="A341" s="1">
        <v>45553</v>
      </c>
      <c r="B341">
        <v>104</v>
      </c>
      <c r="C341">
        <v>1844.19869450482</v>
      </c>
      <c r="D341">
        <v>2913.2957188649998</v>
      </c>
      <c r="E341">
        <v>43</v>
      </c>
      <c r="F341">
        <v>43</v>
      </c>
      <c r="K341">
        <v>0.59578542439974402</v>
      </c>
      <c r="L341">
        <v>1.40300013950673</v>
      </c>
      <c r="M341">
        <v>0.26098599942946399</v>
      </c>
      <c r="N341">
        <v>4707</v>
      </c>
      <c r="R341">
        <v>2444904</v>
      </c>
      <c r="T341">
        <v>2377696</v>
      </c>
    </row>
    <row r="342" spans="1:21" x14ac:dyDescent="0.3">
      <c r="A342" s="1">
        <v>45554</v>
      </c>
      <c r="B342">
        <v>126</v>
      </c>
      <c r="C342">
        <v>1918.4274454076201</v>
      </c>
      <c r="D342">
        <v>4195.6094507255402</v>
      </c>
      <c r="E342">
        <v>49</v>
      </c>
      <c r="F342">
        <v>49</v>
      </c>
      <c r="K342">
        <v>0.62491673962799599</v>
      </c>
      <c r="L342">
        <v>1.4686215132757801</v>
      </c>
      <c r="M342">
        <v>0.271860416072358</v>
      </c>
      <c r="N342">
        <v>6387</v>
      </c>
      <c r="R342">
        <v>2217400</v>
      </c>
      <c r="T342">
        <v>3952117</v>
      </c>
    </row>
    <row r="343" spans="1:21" x14ac:dyDescent="0.3">
      <c r="A343" s="1">
        <v>45555</v>
      </c>
      <c r="B343">
        <v>118</v>
      </c>
      <c r="C343">
        <v>1864.0151329508201</v>
      </c>
      <c r="D343">
        <v>5835.1206775916398</v>
      </c>
      <c r="E343">
        <v>43</v>
      </c>
      <c r="F343">
        <v>42</v>
      </c>
      <c r="K343">
        <v>0.58049588625034998</v>
      </c>
      <c r="L343">
        <v>2.1369305747652798</v>
      </c>
      <c r="M343">
        <v>0.26098599942946399</v>
      </c>
      <c r="N343">
        <v>8586</v>
      </c>
      <c r="R343">
        <v>605280</v>
      </c>
      <c r="T343">
        <v>4685471</v>
      </c>
    </row>
    <row r="344" spans="1:21" x14ac:dyDescent="0.3">
      <c r="A344" s="1">
        <v>45556</v>
      </c>
      <c r="B344">
        <v>71</v>
      </c>
      <c r="C344">
        <v>1819.7982640411101</v>
      </c>
      <c r="D344">
        <v>2313.1603933001802</v>
      </c>
      <c r="E344">
        <v>31</v>
      </c>
      <c r="F344">
        <v>31</v>
      </c>
      <c r="K344">
        <v>0.496544728795977</v>
      </c>
      <c r="L344">
        <v>1.51096523515064</v>
      </c>
      <c r="M344">
        <v>0.271860416072358</v>
      </c>
      <c r="N344">
        <v>3580</v>
      </c>
      <c r="R344">
        <v>1526816</v>
      </c>
      <c r="T344">
        <v>2922260</v>
      </c>
    </row>
    <row r="345" spans="1:21" x14ac:dyDescent="0.3">
      <c r="A345" s="1">
        <v>45557</v>
      </c>
      <c r="B345">
        <v>30</v>
      </c>
      <c r="C345">
        <v>1672.69354049353</v>
      </c>
      <c r="D345">
        <v>3006.17265648496</v>
      </c>
      <c r="E345">
        <v>43</v>
      </c>
      <c r="F345">
        <v>23</v>
      </c>
      <c r="K345">
        <v>0.89830305274589195</v>
      </c>
      <c r="L345">
        <v>2.24045482257783</v>
      </c>
      <c r="M345">
        <v>0.32623246588062499</v>
      </c>
      <c r="N345">
        <v>3772</v>
      </c>
      <c r="T345">
        <v>1651258</v>
      </c>
    </row>
    <row r="346" spans="1:21" x14ac:dyDescent="0.3">
      <c r="A346" s="1">
        <v>45558</v>
      </c>
      <c r="B346">
        <v>163</v>
      </c>
      <c r="C346">
        <v>2061.7062229621001</v>
      </c>
      <c r="D346">
        <v>4554.9867113544497</v>
      </c>
      <c r="E346">
        <v>76</v>
      </c>
      <c r="F346">
        <v>76</v>
      </c>
      <c r="K346">
        <v>0.49374589530082202</v>
      </c>
      <c r="L346">
        <v>1.56810995621226</v>
      </c>
      <c r="M346">
        <v>0.25011158278656997</v>
      </c>
      <c r="N346">
        <v>6948</v>
      </c>
      <c r="R346">
        <v>4048520</v>
      </c>
      <c r="T346">
        <v>4562554</v>
      </c>
    </row>
    <row r="347" spans="1:21" x14ac:dyDescent="0.3">
      <c r="A347" s="1">
        <v>45559</v>
      </c>
      <c r="B347">
        <v>133</v>
      </c>
      <c r="C347">
        <v>1906.31008101115</v>
      </c>
      <c r="D347">
        <v>3976.5579877561199</v>
      </c>
      <c r="E347">
        <v>52</v>
      </c>
      <c r="F347">
        <v>52</v>
      </c>
      <c r="K347">
        <v>0.57377854149456198</v>
      </c>
      <c r="L347">
        <v>1.68910701064932</v>
      </c>
      <c r="M347">
        <v>0.26644254178187099</v>
      </c>
      <c r="N347">
        <v>6190</v>
      </c>
      <c r="R347">
        <v>2636344</v>
      </c>
      <c r="T347">
        <v>3286674</v>
      </c>
    </row>
    <row r="348" spans="1:21" x14ac:dyDescent="0.3">
      <c r="A348" s="1">
        <v>45560</v>
      </c>
      <c r="B348">
        <v>136</v>
      </c>
      <c r="C348">
        <v>1974.8122379577701</v>
      </c>
      <c r="D348">
        <v>3755.3321799320902</v>
      </c>
      <c r="E348">
        <v>76</v>
      </c>
      <c r="F348">
        <v>76</v>
      </c>
      <c r="K348">
        <v>0.56042618209879802</v>
      </c>
      <c r="L348">
        <v>1.4474076221828001</v>
      </c>
      <c r="M348">
        <v>0.248945400943203</v>
      </c>
      <c r="N348">
        <v>5655</v>
      </c>
      <c r="R348">
        <v>3823936</v>
      </c>
      <c r="T348">
        <v>3244634</v>
      </c>
    </row>
    <row r="349" spans="1:21" x14ac:dyDescent="0.3">
      <c r="A349" s="1">
        <v>45561</v>
      </c>
      <c r="B349">
        <v>122</v>
      </c>
      <c r="C349">
        <v>1909.6322502912401</v>
      </c>
      <c r="D349">
        <v>4483.0723670440802</v>
      </c>
      <c r="E349">
        <v>52</v>
      </c>
      <c r="F349">
        <v>52</v>
      </c>
      <c r="K349">
        <v>0.484325227825668</v>
      </c>
      <c r="L349">
        <v>1.4685142520265699</v>
      </c>
      <c r="M349">
        <v>0.29360924935814697</v>
      </c>
      <c r="N349">
        <v>6796</v>
      </c>
      <c r="R349">
        <v>2036482</v>
      </c>
      <c r="T349">
        <v>3836038</v>
      </c>
      <c r="U349">
        <v>66330</v>
      </c>
    </row>
    <row r="350" spans="1:21" x14ac:dyDescent="0.3">
      <c r="A350" s="1">
        <v>45562</v>
      </c>
      <c r="B350">
        <v>174</v>
      </c>
      <c r="C350">
        <v>2120.36955604475</v>
      </c>
      <c r="D350">
        <v>5928.2568866142701</v>
      </c>
      <c r="E350">
        <v>108</v>
      </c>
      <c r="F350">
        <v>108</v>
      </c>
      <c r="K350">
        <v>0.478307765085835</v>
      </c>
      <c r="L350">
        <v>1.6139267977765299</v>
      </c>
      <c r="M350">
        <v>0.26098599942946399</v>
      </c>
      <c r="N350">
        <v>8711</v>
      </c>
      <c r="R350">
        <v>4317631</v>
      </c>
      <c r="T350">
        <v>5326618</v>
      </c>
    </row>
    <row r="351" spans="1:21" x14ac:dyDescent="0.3">
      <c r="A351" s="1">
        <v>45563</v>
      </c>
      <c r="B351">
        <v>64</v>
      </c>
      <c r="C351">
        <v>1753.17318197124</v>
      </c>
      <c r="D351">
        <v>4018.4025202142302</v>
      </c>
      <c r="E351">
        <v>29</v>
      </c>
      <c r="F351">
        <v>29</v>
      </c>
      <c r="K351">
        <v>0.46262856613629999</v>
      </c>
      <c r="L351">
        <v>1.98142114770433</v>
      </c>
      <c r="M351">
        <v>0.26098599942946399</v>
      </c>
      <c r="N351">
        <v>5864</v>
      </c>
      <c r="T351">
        <v>3360580</v>
      </c>
    </row>
    <row r="352" spans="1:21" x14ac:dyDescent="0.3">
      <c r="A352" s="1">
        <v>45564</v>
      </c>
      <c r="B352">
        <v>43</v>
      </c>
      <c r="C352">
        <v>1694.3384175101401</v>
      </c>
      <c r="D352">
        <v>2244.2457780677601</v>
      </c>
      <c r="E352">
        <v>15</v>
      </c>
      <c r="F352">
        <v>15</v>
      </c>
      <c r="K352">
        <v>0.58824393679658105</v>
      </c>
      <c r="L352">
        <v>1.4371170374878099</v>
      </c>
      <c r="M352">
        <v>0.25027974897550198</v>
      </c>
      <c r="N352">
        <v>3420</v>
      </c>
      <c r="T352">
        <v>2305825</v>
      </c>
    </row>
    <row r="353" spans="1:21" x14ac:dyDescent="0.3">
      <c r="A353" s="1">
        <v>45565</v>
      </c>
      <c r="B353">
        <v>97</v>
      </c>
      <c r="C353">
        <v>1898.4266004173001</v>
      </c>
      <c r="D353">
        <v>4883.9025803969298</v>
      </c>
      <c r="E353">
        <v>47</v>
      </c>
      <c r="F353">
        <v>47</v>
      </c>
      <c r="K353">
        <v>0.40620450031133898</v>
      </c>
      <c r="L353">
        <v>1.4524496325570999</v>
      </c>
      <c r="M353">
        <v>0.27046872975237901</v>
      </c>
      <c r="N353">
        <v>7133</v>
      </c>
      <c r="R353">
        <v>924423</v>
      </c>
      <c r="T353">
        <v>4976609</v>
      </c>
    </row>
    <row r="354" spans="1:21" x14ac:dyDescent="0.3">
      <c r="A354" s="1">
        <v>45566</v>
      </c>
      <c r="B354">
        <v>1</v>
      </c>
      <c r="C354">
        <v>1565.74999999999</v>
      </c>
      <c r="D354">
        <v>48.2824098944509</v>
      </c>
      <c r="K354">
        <v>0.40924032063994198</v>
      </c>
      <c r="L354">
        <v>0.51178569431929999</v>
      </c>
      <c r="M354">
        <v>0.326232478407951</v>
      </c>
      <c r="N354">
        <v>176</v>
      </c>
    </row>
    <row r="355" spans="1:21" x14ac:dyDescent="0.3">
      <c r="A355" s="1">
        <v>45567</v>
      </c>
      <c r="B355">
        <v>84</v>
      </c>
      <c r="C355">
        <v>1802.8756127009499</v>
      </c>
      <c r="D355">
        <v>5610.4673202075701</v>
      </c>
      <c r="E355">
        <v>49</v>
      </c>
      <c r="F355">
        <v>37</v>
      </c>
      <c r="K355">
        <v>0.52802784933708102</v>
      </c>
      <c r="L355">
        <v>2.40104801735778</v>
      </c>
      <c r="M355">
        <v>0.26098599942946399</v>
      </c>
      <c r="N355">
        <v>7814</v>
      </c>
      <c r="T355">
        <v>4107927</v>
      </c>
    </row>
    <row r="356" spans="1:21" x14ac:dyDescent="0.3">
      <c r="A356" s="1">
        <v>45568</v>
      </c>
      <c r="B356">
        <v>24</v>
      </c>
      <c r="C356">
        <v>1608.81909254941</v>
      </c>
      <c r="D356">
        <v>995.77518922523598</v>
      </c>
      <c r="E356">
        <v>4</v>
      </c>
      <c r="F356">
        <v>4</v>
      </c>
      <c r="K356">
        <v>0.50963773258348399</v>
      </c>
      <c r="L356">
        <v>1.31214496319411</v>
      </c>
      <c r="M356">
        <v>0.28637039113317803</v>
      </c>
      <c r="N356">
        <v>1631</v>
      </c>
      <c r="T356">
        <v>772308</v>
      </c>
    </row>
    <row r="357" spans="1:21" x14ac:dyDescent="0.3">
      <c r="A357" s="1">
        <v>45569</v>
      </c>
      <c r="B357">
        <v>137</v>
      </c>
      <c r="C357">
        <v>1964.76905490735</v>
      </c>
      <c r="D357">
        <v>6686.2759635419598</v>
      </c>
      <c r="E357">
        <v>66</v>
      </c>
      <c r="F357">
        <v>61</v>
      </c>
      <c r="K357">
        <v>0.58639986236874697</v>
      </c>
      <c r="L357">
        <v>2.1419470798304499</v>
      </c>
      <c r="M357">
        <v>0.25011158278656997</v>
      </c>
      <c r="N357">
        <v>9630</v>
      </c>
      <c r="R357">
        <v>1322286</v>
      </c>
      <c r="T357">
        <v>5685865</v>
      </c>
    </row>
    <row r="358" spans="1:21" x14ac:dyDescent="0.3">
      <c r="A358" s="1">
        <v>45570</v>
      </c>
      <c r="B358">
        <v>79</v>
      </c>
      <c r="C358">
        <v>1735.3687546189201</v>
      </c>
      <c r="D358">
        <v>2761.9258840020502</v>
      </c>
      <c r="E358">
        <v>22</v>
      </c>
      <c r="F358">
        <v>22</v>
      </c>
      <c r="K358">
        <v>0.55049276330901098</v>
      </c>
      <c r="L358">
        <v>2.2675273316476301</v>
      </c>
      <c r="M358">
        <v>0.26098599942946399</v>
      </c>
      <c r="N358">
        <v>4263</v>
      </c>
      <c r="R358">
        <v>989886</v>
      </c>
      <c r="T358">
        <v>1982660</v>
      </c>
    </row>
    <row r="359" spans="1:21" x14ac:dyDescent="0.3">
      <c r="A359" s="1">
        <v>45571</v>
      </c>
      <c r="B359">
        <v>162</v>
      </c>
      <c r="C359">
        <v>2123.81961028363</v>
      </c>
      <c r="D359">
        <v>4952.8377089559299</v>
      </c>
      <c r="E359">
        <v>79</v>
      </c>
      <c r="F359">
        <v>79</v>
      </c>
      <c r="K359">
        <v>0.66905148242927703</v>
      </c>
      <c r="L359">
        <v>1.5204929377049901</v>
      </c>
      <c r="M359">
        <v>0.25211268883793198</v>
      </c>
      <c r="N359">
        <v>7466</v>
      </c>
      <c r="R359">
        <v>3630349</v>
      </c>
      <c r="T359">
        <v>6123694</v>
      </c>
    </row>
    <row r="360" spans="1:21" x14ac:dyDescent="0.3">
      <c r="A360" s="1">
        <v>45572</v>
      </c>
      <c r="B360">
        <v>99</v>
      </c>
      <c r="C360">
        <v>1852.7863304483201</v>
      </c>
      <c r="D360">
        <v>3022.0437910218502</v>
      </c>
      <c r="E360">
        <v>34</v>
      </c>
      <c r="F360">
        <v>34</v>
      </c>
      <c r="K360">
        <v>0.45369947575074099</v>
      </c>
      <c r="L360">
        <v>1.7117313545084201</v>
      </c>
      <c r="M360">
        <v>0.25011158278656997</v>
      </c>
      <c r="N360">
        <v>4930</v>
      </c>
      <c r="R360">
        <v>1842071</v>
      </c>
      <c r="T360">
        <v>3176558</v>
      </c>
    </row>
    <row r="361" spans="1:21" x14ac:dyDescent="0.3">
      <c r="A361" s="1">
        <v>45573</v>
      </c>
      <c r="B361">
        <v>101</v>
      </c>
      <c r="C361">
        <v>1858.9930526942701</v>
      </c>
      <c r="D361">
        <v>3274.7442432376101</v>
      </c>
      <c r="E361">
        <v>40</v>
      </c>
      <c r="F361">
        <v>40</v>
      </c>
      <c r="K361">
        <v>0.44543060698637299</v>
      </c>
      <c r="L361">
        <v>1.6140016846448899</v>
      </c>
      <c r="M361">
        <v>0.26098599942946399</v>
      </c>
      <c r="N361">
        <v>5139</v>
      </c>
      <c r="R361">
        <v>1892058</v>
      </c>
      <c r="T361">
        <v>3234382</v>
      </c>
    </row>
    <row r="362" spans="1:21" x14ac:dyDescent="0.3">
      <c r="A362" s="1">
        <v>45574</v>
      </c>
      <c r="B362">
        <v>165</v>
      </c>
      <c r="C362">
        <v>1961.1457967799099</v>
      </c>
      <c r="D362">
        <v>7777.05837425958</v>
      </c>
      <c r="E362">
        <v>52</v>
      </c>
      <c r="F362">
        <v>43</v>
      </c>
      <c r="K362">
        <v>0.69262078529995097</v>
      </c>
      <c r="L362">
        <v>2.60267299414557</v>
      </c>
      <c r="M362">
        <v>0.25011158278656997</v>
      </c>
      <c r="N362">
        <v>11423</v>
      </c>
      <c r="R362">
        <v>878333</v>
      </c>
      <c r="T362">
        <v>5509944</v>
      </c>
      <c r="U362">
        <v>279744</v>
      </c>
    </row>
    <row r="363" spans="1:21" x14ac:dyDescent="0.3">
      <c r="A363" s="1">
        <v>45575</v>
      </c>
      <c r="B363">
        <v>215</v>
      </c>
      <c r="C363">
        <v>2256.27283131486</v>
      </c>
      <c r="D363">
        <v>9500.0762406552694</v>
      </c>
      <c r="E363">
        <v>121</v>
      </c>
      <c r="F363">
        <v>121</v>
      </c>
      <c r="K363">
        <v>0.625047230026747</v>
      </c>
      <c r="L363">
        <v>1.6965031792751299</v>
      </c>
      <c r="M363">
        <v>0.25011158278656997</v>
      </c>
      <c r="N363">
        <v>13839</v>
      </c>
      <c r="R363">
        <v>3639118</v>
      </c>
      <c r="T363">
        <v>8489442</v>
      </c>
    </row>
    <row r="364" spans="1:21" x14ac:dyDescent="0.3">
      <c r="A364" s="1">
        <v>45576</v>
      </c>
      <c r="B364">
        <v>59</v>
      </c>
      <c r="C364">
        <v>1766.3100732190801</v>
      </c>
      <c r="D364">
        <v>1709.3923916204101</v>
      </c>
      <c r="E364">
        <v>31</v>
      </c>
      <c r="F364">
        <v>31</v>
      </c>
      <c r="K364">
        <v>0.47835053138990302</v>
      </c>
      <c r="L364">
        <v>1.433427702166</v>
      </c>
      <c r="M364">
        <v>0.271860416072358</v>
      </c>
      <c r="N364">
        <v>2743</v>
      </c>
      <c r="R364">
        <v>1649178</v>
      </c>
      <c r="T364">
        <v>1832226</v>
      </c>
    </row>
    <row r="365" spans="1:21" x14ac:dyDescent="0.3">
      <c r="A365" s="1">
        <v>45577</v>
      </c>
      <c r="B365">
        <v>134</v>
      </c>
      <c r="C365">
        <v>1986.5380461904099</v>
      </c>
      <c r="D365">
        <v>6809.00197527825</v>
      </c>
      <c r="E365">
        <v>86</v>
      </c>
      <c r="F365">
        <v>66</v>
      </c>
      <c r="K365">
        <v>0.60771879275378504</v>
      </c>
      <c r="L365">
        <v>2.4038001198344601</v>
      </c>
      <c r="M365">
        <v>0.271860416072358</v>
      </c>
      <c r="N365">
        <v>9686</v>
      </c>
      <c r="R365">
        <v>1717252</v>
      </c>
      <c r="T365">
        <v>5681926</v>
      </c>
    </row>
    <row r="366" spans="1:21" x14ac:dyDescent="0.3">
      <c r="A366" s="1">
        <v>45578</v>
      </c>
      <c r="B366">
        <v>61</v>
      </c>
      <c r="C366">
        <v>1738.43320118923</v>
      </c>
      <c r="D366">
        <v>665.09162638014197</v>
      </c>
      <c r="E366">
        <v>41</v>
      </c>
      <c r="F366">
        <v>41</v>
      </c>
      <c r="K366">
        <v>0.73597805617837697</v>
      </c>
      <c r="L366">
        <v>1.38162943098649</v>
      </c>
      <c r="M366">
        <v>0.25011158278656997</v>
      </c>
      <c r="N366">
        <v>1033</v>
      </c>
      <c r="R366">
        <v>2488187</v>
      </c>
      <c r="T366">
        <v>434824</v>
      </c>
    </row>
    <row r="367" spans="1:21" x14ac:dyDescent="0.3">
      <c r="A367" s="1">
        <v>45579</v>
      </c>
      <c r="B367">
        <v>69</v>
      </c>
      <c r="C367">
        <v>1740.5220113493399</v>
      </c>
      <c r="D367">
        <v>2569.43725260066</v>
      </c>
      <c r="E367">
        <v>13</v>
      </c>
      <c r="F367">
        <v>13</v>
      </c>
      <c r="K367">
        <v>0.43370761564803001</v>
      </c>
      <c r="L367">
        <v>1.45154221135251</v>
      </c>
      <c r="M367">
        <v>0.29360924935814697</v>
      </c>
      <c r="N367">
        <v>4037</v>
      </c>
      <c r="R367">
        <v>578004</v>
      </c>
      <c r="T367">
        <v>2515669</v>
      </c>
    </row>
    <row r="368" spans="1:21" x14ac:dyDescent="0.3">
      <c r="A368" s="1">
        <v>45580</v>
      </c>
      <c r="B368">
        <v>119</v>
      </c>
      <c r="C368">
        <v>1928.57176870688</v>
      </c>
      <c r="D368">
        <v>4746.5176241664103</v>
      </c>
      <c r="E368">
        <v>44</v>
      </c>
      <c r="F368">
        <v>44</v>
      </c>
      <c r="K368">
        <v>0.58431897496238705</v>
      </c>
      <c r="L368">
        <v>1.52061347653124</v>
      </c>
      <c r="M368">
        <v>0.25011158278656997</v>
      </c>
      <c r="N368">
        <v>7036</v>
      </c>
      <c r="R368">
        <v>1336624</v>
      </c>
      <c r="T368">
        <v>5076224</v>
      </c>
    </row>
    <row r="369" spans="1:21" x14ac:dyDescent="0.3">
      <c r="A369" s="1">
        <v>45581</v>
      </c>
      <c r="B369">
        <v>64</v>
      </c>
      <c r="C369">
        <v>1758.39731653281</v>
      </c>
      <c r="D369">
        <v>2941.31510469573</v>
      </c>
      <c r="E369">
        <v>22</v>
      </c>
      <c r="F369">
        <v>22</v>
      </c>
      <c r="K369">
        <v>0.46096935572653303</v>
      </c>
      <c r="L369">
        <v>1.6063684700916301</v>
      </c>
      <c r="M369">
        <v>0.26098599942946399</v>
      </c>
      <c r="N369">
        <v>4668</v>
      </c>
      <c r="R369">
        <v>659127</v>
      </c>
      <c r="T369">
        <v>2749427</v>
      </c>
    </row>
    <row r="370" spans="1:21" x14ac:dyDescent="0.3">
      <c r="A370" s="1">
        <v>45582</v>
      </c>
      <c r="B370">
        <v>15</v>
      </c>
      <c r="C370">
        <v>1605.38423299189</v>
      </c>
      <c r="D370">
        <v>556.15762466356</v>
      </c>
      <c r="K370">
        <v>0.40019569996565202</v>
      </c>
      <c r="L370">
        <v>1.2503024574335999</v>
      </c>
      <c r="M370">
        <v>0.24879421099895299</v>
      </c>
      <c r="N370">
        <v>1035</v>
      </c>
      <c r="T370">
        <v>710714</v>
      </c>
    </row>
    <row r="371" spans="1:21" x14ac:dyDescent="0.3">
      <c r="A371" s="1">
        <v>45583</v>
      </c>
      <c r="B371">
        <v>156</v>
      </c>
      <c r="C371">
        <v>1970.57900087911</v>
      </c>
      <c r="D371">
        <v>5589.7487527296998</v>
      </c>
      <c r="E371">
        <v>78</v>
      </c>
      <c r="F371">
        <v>68</v>
      </c>
      <c r="K371">
        <v>0.49427028738210899</v>
      </c>
      <c r="L371">
        <v>2.4241999260608802</v>
      </c>
      <c r="M371">
        <v>0.26098599942946399</v>
      </c>
      <c r="N371">
        <v>7991</v>
      </c>
      <c r="R371">
        <v>2851428</v>
      </c>
      <c r="T371">
        <v>4150844</v>
      </c>
    </row>
    <row r="372" spans="1:21" x14ac:dyDescent="0.3">
      <c r="A372" s="1">
        <v>45584</v>
      </c>
      <c r="B372">
        <v>65</v>
      </c>
      <c r="C372">
        <v>1855.62199199003</v>
      </c>
      <c r="D372">
        <v>1814.9514740536599</v>
      </c>
      <c r="E372">
        <v>33</v>
      </c>
      <c r="F372">
        <v>33</v>
      </c>
      <c r="K372">
        <v>0.57221058236112399</v>
      </c>
      <c r="L372">
        <v>1.6389984634824899</v>
      </c>
      <c r="M372">
        <v>0.25011158278656997</v>
      </c>
      <c r="N372">
        <v>3077</v>
      </c>
      <c r="R372">
        <v>1766331</v>
      </c>
      <c r="T372">
        <v>3231014</v>
      </c>
      <c r="U372">
        <v>33803</v>
      </c>
    </row>
    <row r="373" spans="1:21" x14ac:dyDescent="0.3">
      <c r="A373" s="1">
        <v>45585</v>
      </c>
      <c r="B373">
        <v>100</v>
      </c>
      <c r="C373">
        <v>1652.7109086838</v>
      </c>
      <c r="D373">
        <v>4066.98998581653</v>
      </c>
      <c r="E373">
        <v>3</v>
      </c>
      <c r="F373">
        <v>3</v>
      </c>
      <c r="K373">
        <v>0.43666406496194698</v>
      </c>
      <c r="L373">
        <v>1.5537676317932001</v>
      </c>
      <c r="M373">
        <v>0.28273483271525301</v>
      </c>
      <c r="N373">
        <v>6622</v>
      </c>
      <c r="T373">
        <v>1559367</v>
      </c>
    </row>
    <row r="374" spans="1:21" x14ac:dyDescent="0.3">
      <c r="A374" s="1">
        <v>45586</v>
      </c>
      <c r="B374">
        <v>144</v>
      </c>
      <c r="C374">
        <v>2033.5051970679699</v>
      </c>
      <c r="D374">
        <v>5616.8665313679503</v>
      </c>
      <c r="E374">
        <v>73</v>
      </c>
      <c r="F374">
        <v>73</v>
      </c>
      <c r="K374">
        <v>0.54326241798420205</v>
      </c>
      <c r="L374">
        <v>1.6130178035060001</v>
      </c>
      <c r="M374">
        <v>0.26635536297512902</v>
      </c>
      <c r="N374">
        <v>8150</v>
      </c>
      <c r="R374">
        <v>2593345</v>
      </c>
      <c r="T374">
        <v>5613512</v>
      </c>
    </row>
    <row r="375" spans="1:21" x14ac:dyDescent="0.3">
      <c r="A375" s="1">
        <v>45587</v>
      </c>
      <c r="B375">
        <v>97</v>
      </c>
      <c r="C375">
        <v>1838.99442533765</v>
      </c>
      <c r="D375">
        <v>2938.2115077017902</v>
      </c>
      <c r="E375">
        <v>48</v>
      </c>
      <c r="F375">
        <v>48</v>
      </c>
      <c r="K375">
        <v>0.58030943140983604</v>
      </c>
      <c r="L375">
        <v>1.4556607737874701</v>
      </c>
      <c r="M375">
        <v>0.25011158278656997</v>
      </c>
      <c r="N375">
        <v>4483</v>
      </c>
      <c r="R375">
        <v>2333477</v>
      </c>
      <c r="T375">
        <v>2403569</v>
      </c>
    </row>
    <row r="376" spans="1:21" x14ac:dyDescent="0.3">
      <c r="A376" s="1">
        <v>45588</v>
      </c>
      <c r="B376">
        <v>88</v>
      </c>
      <c r="C376">
        <v>1851.5812218639501</v>
      </c>
      <c r="D376">
        <v>3124.15595112138</v>
      </c>
      <c r="E376">
        <v>40</v>
      </c>
      <c r="F376">
        <v>40</v>
      </c>
      <c r="K376">
        <v>0.55450351065077996</v>
      </c>
      <c r="L376">
        <v>2.10830079365949</v>
      </c>
      <c r="M376">
        <v>0.25011158278656997</v>
      </c>
      <c r="N376">
        <v>4807</v>
      </c>
      <c r="R376">
        <v>1669206</v>
      </c>
      <c r="T376">
        <v>3339867</v>
      </c>
    </row>
    <row r="377" spans="1:21" x14ac:dyDescent="0.3">
      <c r="A377" s="1">
        <v>45589</v>
      </c>
      <c r="B377">
        <v>88</v>
      </c>
      <c r="C377">
        <v>1858.5572261573</v>
      </c>
      <c r="D377">
        <v>3675.9663888916898</v>
      </c>
      <c r="E377">
        <v>41</v>
      </c>
      <c r="F377">
        <v>41</v>
      </c>
      <c r="K377">
        <v>0.93587600911817503</v>
      </c>
      <c r="L377">
        <v>1.7500700887988001</v>
      </c>
      <c r="M377">
        <v>0.25011158278656997</v>
      </c>
      <c r="N377">
        <v>5534</v>
      </c>
      <c r="R377">
        <v>1337537</v>
      </c>
      <c r="T377">
        <v>3819756</v>
      </c>
    </row>
    <row r="378" spans="1:21" x14ac:dyDescent="0.3">
      <c r="A378" s="1">
        <v>45590</v>
      </c>
      <c r="B378">
        <v>130</v>
      </c>
      <c r="C378">
        <v>1959.09295238155</v>
      </c>
      <c r="D378">
        <v>4722.3762106232998</v>
      </c>
      <c r="E378">
        <v>58</v>
      </c>
      <c r="F378">
        <v>58</v>
      </c>
      <c r="K378">
        <v>0.51622699277055095</v>
      </c>
      <c r="L378">
        <v>1.52093083418982</v>
      </c>
      <c r="M378">
        <v>0.25011158278656997</v>
      </c>
      <c r="N378">
        <v>7203</v>
      </c>
      <c r="R378">
        <v>2367310</v>
      </c>
      <c r="T378">
        <v>4520964</v>
      </c>
    </row>
    <row r="379" spans="1:21" x14ac:dyDescent="0.3">
      <c r="A379" s="1">
        <v>45591</v>
      </c>
      <c r="B379">
        <v>70</v>
      </c>
      <c r="C379">
        <v>1701.87509109807</v>
      </c>
      <c r="D379">
        <v>2558.1464039348398</v>
      </c>
      <c r="E379">
        <v>15</v>
      </c>
      <c r="F379">
        <v>15</v>
      </c>
      <c r="K379">
        <v>0.54991241828399995</v>
      </c>
      <c r="L379">
        <v>1.6300180957858701</v>
      </c>
      <c r="M379">
        <v>0.26098599942946399</v>
      </c>
      <c r="N379">
        <v>4030</v>
      </c>
      <c r="R379">
        <v>614566</v>
      </c>
      <c r="T379">
        <v>1783549</v>
      </c>
    </row>
    <row r="380" spans="1:21" x14ac:dyDescent="0.3">
      <c r="A380" s="1">
        <v>45592</v>
      </c>
      <c r="B380">
        <v>56</v>
      </c>
      <c r="C380">
        <v>1732.2061338319199</v>
      </c>
      <c r="D380">
        <v>3013.5457077504502</v>
      </c>
      <c r="E380">
        <v>20</v>
      </c>
      <c r="F380">
        <v>20</v>
      </c>
      <c r="K380">
        <v>0.400985575939244</v>
      </c>
      <c r="L380">
        <v>1.4050260926279099</v>
      </c>
      <c r="M380">
        <v>0.271860416072358</v>
      </c>
      <c r="N380">
        <v>4656</v>
      </c>
      <c r="T380">
        <v>2984863</v>
      </c>
    </row>
    <row r="381" spans="1:21" x14ac:dyDescent="0.3">
      <c r="A381" s="1">
        <v>45593</v>
      </c>
      <c r="B381">
        <v>109</v>
      </c>
      <c r="C381">
        <v>1908.98477491112</v>
      </c>
      <c r="D381">
        <v>3749.3865463162401</v>
      </c>
      <c r="E381">
        <v>54</v>
      </c>
      <c r="F381">
        <v>54</v>
      </c>
      <c r="K381">
        <v>0.46177585465139398</v>
      </c>
      <c r="L381">
        <v>1.4486839064291199</v>
      </c>
      <c r="M381">
        <v>0.266680311008892</v>
      </c>
      <c r="N381">
        <v>5639</v>
      </c>
      <c r="R381">
        <v>2223768</v>
      </c>
      <c r="T381">
        <v>3775985</v>
      </c>
    </row>
    <row r="382" spans="1:21" x14ac:dyDescent="0.3">
      <c r="A382" s="1">
        <v>45594</v>
      </c>
      <c r="C382">
        <v>1570.84423980613</v>
      </c>
      <c r="D382">
        <v>79.600729825986605</v>
      </c>
      <c r="K382">
        <v>0.38102050131561999</v>
      </c>
      <c r="L382">
        <v>0.45889356756075</v>
      </c>
      <c r="M382">
        <v>0.26098599942946399</v>
      </c>
      <c r="N382">
        <v>231</v>
      </c>
      <c r="T382">
        <v>91349</v>
      </c>
    </row>
    <row r="383" spans="1:21" x14ac:dyDescent="0.3">
      <c r="A383" s="1">
        <v>45595</v>
      </c>
      <c r="B383">
        <v>102</v>
      </c>
      <c r="C383">
        <v>1762.56594341447</v>
      </c>
      <c r="D383">
        <v>5135.2988944687104</v>
      </c>
      <c r="E383">
        <v>52</v>
      </c>
      <c r="F383">
        <v>32</v>
      </c>
      <c r="K383">
        <v>0.45941763654108603</v>
      </c>
      <c r="L383">
        <v>2.3367783416637899</v>
      </c>
      <c r="M383">
        <v>0.28273483271525301</v>
      </c>
      <c r="N383">
        <v>6999</v>
      </c>
      <c r="T383">
        <v>3453074</v>
      </c>
    </row>
    <row r="384" spans="1:21" x14ac:dyDescent="0.3">
      <c r="A384" s="1">
        <v>45596</v>
      </c>
      <c r="B384">
        <v>47</v>
      </c>
      <c r="C384">
        <v>1725.6176260059999</v>
      </c>
      <c r="D384">
        <v>2810.1839380868801</v>
      </c>
      <c r="E384">
        <v>16</v>
      </c>
      <c r="F384">
        <v>16</v>
      </c>
      <c r="K384">
        <v>0.44245770408280799</v>
      </c>
      <c r="L384">
        <v>1.7522174968192501</v>
      </c>
      <c r="M384">
        <v>0.25193109135531699</v>
      </c>
      <c r="N384">
        <v>4299</v>
      </c>
      <c r="T384">
        <v>2866719</v>
      </c>
    </row>
    <row r="385" spans="1:21" x14ac:dyDescent="0.3">
      <c r="A385" s="1">
        <v>45597</v>
      </c>
      <c r="B385">
        <v>119</v>
      </c>
      <c r="C385">
        <v>1728.83953149183</v>
      </c>
      <c r="D385">
        <v>5079.5670045472098</v>
      </c>
      <c r="E385">
        <v>33</v>
      </c>
      <c r="F385">
        <v>19</v>
      </c>
      <c r="K385">
        <v>0.44839874536843199</v>
      </c>
      <c r="L385">
        <v>2.2717521137529002</v>
      </c>
      <c r="M385">
        <v>0.271860416072358</v>
      </c>
      <c r="N385">
        <v>7547</v>
      </c>
      <c r="T385">
        <v>2611052</v>
      </c>
      <c r="U385">
        <v>136868</v>
      </c>
    </row>
    <row r="386" spans="1:21" x14ac:dyDescent="0.3">
      <c r="A386" s="1">
        <v>45598</v>
      </c>
      <c r="B386">
        <v>32</v>
      </c>
      <c r="C386">
        <v>1651.3852701388801</v>
      </c>
      <c r="D386">
        <v>685.43414036007005</v>
      </c>
      <c r="E386">
        <v>12</v>
      </c>
      <c r="F386">
        <v>12</v>
      </c>
      <c r="K386">
        <v>0.36672195937417101</v>
      </c>
      <c r="L386">
        <v>1.0007415577738299</v>
      </c>
      <c r="M386">
        <v>0.30448366600104099</v>
      </c>
      <c r="N386">
        <v>1255</v>
      </c>
      <c r="R386">
        <v>802990</v>
      </c>
      <c r="T386">
        <v>676610</v>
      </c>
    </row>
    <row r="387" spans="1:21" x14ac:dyDescent="0.3">
      <c r="A387" s="1">
        <v>45599</v>
      </c>
      <c r="B387">
        <v>73</v>
      </c>
      <c r="C387">
        <v>1758.72878086581</v>
      </c>
      <c r="D387">
        <v>3864.6222211494401</v>
      </c>
      <c r="E387">
        <v>24</v>
      </c>
      <c r="F387">
        <v>23</v>
      </c>
      <c r="K387">
        <v>0.58779518763577099</v>
      </c>
      <c r="L387">
        <v>1.9648941795383901</v>
      </c>
      <c r="M387">
        <v>0.26098599942946399</v>
      </c>
      <c r="N387">
        <v>5711</v>
      </c>
      <c r="T387">
        <v>3460460</v>
      </c>
    </row>
    <row r="388" spans="1:21" x14ac:dyDescent="0.3">
      <c r="A388" s="1">
        <v>45600</v>
      </c>
      <c r="B388">
        <v>152</v>
      </c>
      <c r="C388">
        <v>2035.4387956016999</v>
      </c>
      <c r="D388">
        <v>5760.5792783426296</v>
      </c>
      <c r="E388">
        <v>77</v>
      </c>
      <c r="F388">
        <v>73</v>
      </c>
      <c r="K388">
        <v>0.50777335738343699</v>
      </c>
      <c r="L388">
        <v>2.2362404864025298</v>
      </c>
      <c r="M388">
        <v>0.26098599942946399</v>
      </c>
      <c r="N388">
        <v>8394</v>
      </c>
      <c r="R388">
        <v>2716483</v>
      </c>
      <c r="T388">
        <v>5455329</v>
      </c>
    </row>
    <row r="389" spans="1:21" x14ac:dyDescent="0.3">
      <c r="A389" s="1">
        <v>45601</v>
      </c>
      <c r="B389">
        <v>189</v>
      </c>
      <c r="C389">
        <v>2234.7943624733798</v>
      </c>
      <c r="D389">
        <v>10064.440988528801</v>
      </c>
      <c r="E389">
        <v>149</v>
      </c>
      <c r="F389">
        <v>126</v>
      </c>
      <c r="K389">
        <v>0.58695629460813303</v>
      </c>
      <c r="L389">
        <v>2.3191369763992502</v>
      </c>
      <c r="M389">
        <v>0.26098599942946399</v>
      </c>
      <c r="N389">
        <v>13951</v>
      </c>
      <c r="R389">
        <v>3156290</v>
      </c>
      <c r="T389">
        <v>8504497</v>
      </c>
    </row>
    <row r="390" spans="1:21" x14ac:dyDescent="0.3">
      <c r="A390" s="1">
        <v>45602</v>
      </c>
      <c r="B390">
        <v>82</v>
      </c>
      <c r="C390">
        <v>1789.53440828162</v>
      </c>
      <c r="D390">
        <v>3796.9138256153601</v>
      </c>
      <c r="E390">
        <v>26</v>
      </c>
      <c r="F390">
        <v>26</v>
      </c>
      <c r="K390">
        <v>0.52176749098455799</v>
      </c>
      <c r="L390">
        <v>1.5265427962423399</v>
      </c>
      <c r="M390">
        <v>0.24901800068987201</v>
      </c>
      <c r="N390">
        <v>5715</v>
      </c>
      <c r="R390">
        <v>473340</v>
      </c>
      <c r="T390">
        <v>3506515</v>
      </c>
    </row>
    <row r="391" spans="1:21" x14ac:dyDescent="0.3">
      <c r="A391" s="1">
        <v>45603</v>
      </c>
      <c r="B391">
        <v>158</v>
      </c>
      <c r="C391">
        <v>2001.26932905954</v>
      </c>
      <c r="D391">
        <v>7373.3748951043399</v>
      </c>
      <c r="E391">
        <v>44</v>
      </c>
      <c r="F391">
        <v>44</v>
      </c>
      <c r="K391">
        <v>0.614031692407083</v>
      </c>
      <c r="L391">
        <v>1.6391023917099099</v>
      </c>
      <c r="M391">
        <v>0.24922366156928699</v>
      </c>
      <c r="N391">
        <v>11141</v>
      </c>
      <c r="R391">
        <v>945377</v>
      </c>
      <c r="T391">
        <v>6798210</v>
      </c>
    </row>
    <row r="392" spans="1:21" x14ac:dyDescent="0.3">
      <c r="A392" s="1">
        <v>45604</v>
      </c>
      <c r="B392">
        <v>183</v>
      </c>
      <c r="C392">
        <v>2182.3525916697799</v>
      </c>
      <c r="D392">
        <v>7726.0443849458397</v>
      </c>
      <c r="E392">
        <v>90</v>
      </c>
      <c r="F392">
        <v>90</v>
      </c>
      <c r="K392">
        <v>0.62667608812056896</v>
      </c>
      <c r="L392">
        <v>1.54444422501103</v>
      </c>
      <c r="M392">
        <v>0.32276915198286599</v>
      </c>
      <c r="N392">
        <v>11238</v>
      </c>
      <c r="R392">
        <v>2731281</v>
      </c>
      <c r="T392">
        <v>8135064</v>
      </c>
    </row>
    <row r="393" spans="1:21" x14ac:dyDescent="0.3">
      <c r="A393" s="1">
        <v>45605</v>
      </c>
      <c r="B393">
        <v>179</v>
      </c>
      <c r="C393">
        <v>2159.117614711</v>
      </c>
      <c r="D393">
        <v>8346.1546366330404</v>
      </c>
      <c r="E393">
        <v>97</v>
      </c>
      <c r="F393">
        <v>97</v>
      </c>
      <c r="K393">
        <v>0.66193445924145899</v>
      </c>
      <c r="L393">
        <v>1.48043396159192</v>
      </c>
      <c r="M393">
        <v>0.25011158278656997</v>
      </c>
      <c r="N393">
        <v>12098</v>
      </c>
      <c r="R393">
        <v>2667231</v>
      </c>
      <c r="T393">
        <v>7786933</v>
      </c>
    </row>
    <row r="394" spans="1:21" x14ac:dyDescent="0.3">
      <c r="A394" s="1">
        <v>45606</v>
      </c>
      <c r="B394">
        <v>37</v>
      </c>
      <c r="C394">
        <v>1706.5773609753301</v>
      </c>
      <c r="D394">
        <v>2240.1295796352501</v>
      </c>
      <c r="E394">
        <v>17</v>
      </c>
      <c r="F394">
        <v>17</v>
      </c>
      <c r="K394">
        <v>0.38574463096163802</v>
      </c>
      <c r="L394">
        <v>1.41289550939104</v>
      </c>
      <c r="M394">
        <v>0.25011158278656997</v>
      </c>
      <c r="N394">
        <v>3361</v>
      </c>
      <c r="T394">
        <v>2525292</v>
      </c>
    </row>
    <row r="395" spans="1:21" x14ac:dyDescent="0.3">
      <c r="A395" s="1">
        <v>45607</v>
      </c>
      <c r="B395">
        <v>92</v>
      </c>
      <c r="C395">
        <v>1807.11276321946</v>
      </c>
      <c r="D395">
        <v>2988.15422689046</v>
      </c>
      <c r="E395">
        <v>33</v>
      </c>
      <c r="F395">
        <v>33</v>
      </c>
      <c r="K395">
        <v>0.637719350787748</v>
      </c>
      <c r="L395">
        <v>1.4141465007979599</v>
      </c>
      <c r="M395">
        <v>0.32623246588062499</v>
      </c>
      <c r="N395">
        <v>4631</v>
      </c>
      <c r="R395">
        <v>1664866</v>
      </c>
      <c r="T395">
        <v>2547110</v>
      </c>
    </row>
    <row r="396" spans="1:21" x14ac:dyDescent="0.3">
      <c r="A396" s="1">
        <v>45608</v>
      </c>
      <c r="B396">
        <v>22</v>
      </c>
      <c r="C396">
        <v>1638.48369237618</v>
      </c>
      <c r="D396">
        <v>1032.6490560028001</v>
      </c>
      <c r="E396">
        <v>3</v>
      </c>
      <c r="F396">
        <v>3</v>
      </c>
      <c r="K396">
        <v>0.37105716394126398</v>
      </c>
      <c r="L396">
        <v>1.60953366923026</v>
      </c>
      <c r="M396">
        <v>0.259732113793886</v>
      </c>
      <c r="N396">
        <v>1691</v>
      </c>
      <c r="T396">
        <v>1304248</v>
      </c>
    </row>
    <row r="397" spans="1:21" x14ac:dyDescent="0.3">
      <c r="A397" s="1">
        <v>45609</v>
      </c>
      <c r="B397">
        <v>96</v>
      </c>
      <c r="C397">
        <v>1868.2789735884501</v>
      </c>
      <c r="D397">
        <v>3056.6336722024498</v>
      </c>
      <c r="E397">
        <v>52</v>
      </c>
      <c r="F397">
        <v>52</v>
      </c>
      <c r="K397">
        <v>0.50118283101855898</v>
      </c>
      <c r="L397">
        <v>1.5871554708396101</v>
      </c>
      <c r="M397">
        <v>0.27844637446555998</v>
      </c>
      <c r="N397">
        <v>4672</v>
      </c>
      <c r="R397">
        <v>2274224</v>
      </c>
      <c r="T397">
        <v>2992080</v>
      </c>
    </row>
    <row r="398" spans="1:21" x14ac:dyDescent="0.3">
      <c r="A398" s="1">
        <v>45610</v>
      </c>
      <c r="B398">
        <v>119</v>
      </c>
      <c r="C398">
        <v>1900.2898958199701</v>
      </c>
      <c r="D398">
        <v>5129.0192220173903</v>
      </c>
      <c r="E398">
        <v>66</v>
      </c>
      <c r="F398">
        <v>65</v>
      </c>
      <c r="K398">
        <v>0.62092962375713701</v>
      </c>
      <c r="L398">
        <v>1.7614451609670301</v>
      </c>
      <c r="M398">
        <v>0.24849895593641</v>
      </c>
      <c r="N398">
        <v>7474</v>
      </c>
      <c r="R398">
        <v>2081737</v>
      </c>
      <c r="T398">
        <v>3772005</v>
      </c>
    </row>
    <row r="399" spans="1:21" x14ac:dyDescent="0.3">
      <c r="A399" s="1">
        <v>45611</v>
      </c>
      <c r="B399">
        <v>1</v>
      </c>
      <c r="C399">
        <v>1565.75</v>
      </c>
      <c r="D399">
        <v>107.656724764654</v>
      </c>
      <c r="K399">
        <v>0.31581920549199999</v>
      </c>
      <c r="L399">
        <v>0.62609840985356402</v>
      </c>
      <c r="M399">
        <v>0.28273483271525301</v>
      </c>
      <c r="N399">
        <v>232</v>
      </c>
    </row>
    <row r="400" spans="1:21" x14ac:dyDescent="0.3">
      <c r="A400" s="1">
        <v>45612</v>
      </c>
      <c r="B400">
        <v>77</v>
      </c>
      <c r="C400">
        <v>1799.6188361857901</v>
      </c>
      <c r="D400">
        <v>2648.3735444598501</v>
      </c>
      <c r="E400">
        <v>42</v>
      </c>
      <c r="F400">
        <v>42</v>
      </c>
      <c r="K400">
        <v>0.64511397235756096</v>
      </c>
      <c r="L400">
        <v>1.4693784981005</v>
      </c>
      <c r="M400">
        <v>0.24669015625516999</v>
      </c>
      <c r="N400">
        <v>4088</v>
      </c>
      <c r="R400">
        <v>1823860</v>
      </c>
      <c r="T400">
        <v>2242648</v>
      </c>
    </row>
    <row r="401" spans="1:21" x14ac:dyDescent="0.3">
      <c r="A401" s="1">
        <v>45613</v>
      </c>
      <c r="B401">
        <v>31</v>
      </c>
      <c r="C401">
        <v>1621.0831168233599</v>
      </c>
      <c r="D401">
        <v>1224.47083569193</v>
      </c>
      <c r="E401">
        <v>4</v>
      </c>
      <c r="F401">
        <v>4</v>
      </c>
      <c r="K401">
        <v>0.44821341709648299</v>
      </c>
      <c r="L401">
        <v>1.35593334441568</v>
      </c>
      <c r="M401">
        <v>0.26098599942946399</v>
      </c>
      <c r="N401">
        <v>2020</v>
      </c>
      <c r="T401">
        <v>992224</v>
      </c>
    </row>
    <row r="402" spans="1:21" x14ac:dyDescent="0.3">
      <c r="A402" s="1">
        <v>45614</v>
      </c>
      <c r="B402">
        <v>72</v>
      </c>
      <c r="C402">
        <v>1763.43579804666</v>
      </c>
      <c r="D402">
        <v>2093.5973256195098</v>
      </c>
      <c r="E402">
        <v>17</v>
      </c>
      <c r="F402">
        <v>17</v>
      </c>
      <c r="K402">
        <v>0.43934452718480999</v>
      </c>
      <c r="L402">
        <v>1.4099101256872999</v>
      </c>
      <c r="M402">
        <v>0.28273483271525301</v>
      </c>
      <c r="N402">
        <v>3269</v>
      </c>
      <c r="R402">
        <v>1090767</v>
      </c>
      <c r="T402">
        <v>2378032</v>
      </c>
    </row>
    <row r="403" spans="1:21" x14ac:dyDescent="0.3">
      <c r="A403" s="1">
        <v>45615</v>
      </c>
      <c r="B403">
        <v>57</v>
      </c>
      <c r="C403">
        <v>1740.70589464319</v>
      </c>
      <c r="D403">
        <v>1758.0982731341801</v>
      </c>
      <c r="E403">
        <v>30</v>
      </c>
      <c r="F403">
        <v>30</v>
      </c>
      <c r="K403">
        <v>0.44207728940323898</v>
      </c>
      <c r="L403">
        <v>1.6543376799926499</v>
      </c>
      <c r="M403">
        <v>0.271860416072358</v>
      </c>
      <c r="N403">
        <v>2737</v>
      </c>
      <c r="R403">
        <v>1626444</v>
      </c>
      <c r="T403">
        <v>1397415</v>
      </c>
    </row>
    <row r="404" spans="1:21" x14ac:dyDescent="0.3">
      <c r="A404" s="1">
        <v>45616</v>
      </c>
      <c r="B404">
        <v>183</v>
      </c>
      <c r="C404">
        <v>2118.9879925640098</v>
      </c>
      <c r="D404">
        <v>9427.4864187597996</v>
      </c>
      <c r="E404">
        <v>80</v>
      </c>
      <c r="F404">
        <v>80</v>
      </c>
      <c r="K404">
        <v>0.76218265548081199</v>
      </c>
      <c r="L404">
        <v>1.5044248783582801</v>
      </c>
      <c r="M404">
        <v>0.25011158278656997</v>
      </c>
      <c r="N404">
        <v>13837</v>
      </c>
      <c r="R404">
        <v>960318</v>
      </c>
      <c r="T404">
        <v>8738455</v>
      </c>
      <c r="U404">
        <v>67607</v>
      </c>
    </row>
    <row r="405" spans="1:21" x14ac:dyDescent="0.3">
      <c r="A405" s="1">
        <v>45617</v>
      </c>
      <c r="B405">
        <v>90</v>
      </c>
      <c r="C405">
        <v>1794.23758312165</v>
      </c>
      <c r="D405">
        <v>3855.0580294937099</v>
      </c>
      <c r="E405">
        <v>40</v>
      </c>
      <c r="F405">
        <v>40</v>
      </c>
      <c r="K405">
        <v>0.597778376894335</v>
      </c>
      <c r="L405">
        <v>1.6013431509903799</v>
      </c>
      <c r="M405">
        <v>0.24839536162935999</v>
      </c>
      <c r="N405">
        <v>5797</v>
      </c>
      <c r="R405">
        <v>1261791</v>
      </c>
      <c r="T405">
        <v>2747417</v>
      </c>
    </row>
    <row r="406" spans="1:21" x14ac:dyDescent="0.3">
      <c r="A406" s="1">
        <v>45618</v>
      </c>
      <c r="B406">
        <v>86</v>
      </c>
      <c r="C406">
        <v>1783.56922613752</v>
      </c>
      <c r="D406">
        <v>3577.3434589448698</v>
      </c>
      <c r="E406">
        <v>19</v>
      </c>
      <c r="F406">
        <v>19</v>
      </c>
      <c r="K406">
        <v>0.41792407597338699</v>
      </c>
      <c r="L406">
        <v>1.5749600381637501</v>
      </c>
      <c r="M406">
        <v>0.25011158278656997</v>
      </c>
      <c r="N406">
        <v>5411</v>
      </c>
      <c r="R406">
        <v>591035</v>
      </c>
      <c r="T406">
        <v>3273645</v>
      </c>
    </row>
    <row r="407" spans="1:21" x14ac:dyDescent="0.3">
      <c r="A407" s="1">
        <v>45619</v>
      </c>
      <c r="B407">
        <v>145</v>
      </c>
      <c r="C407">
        <v>1974.0056546261001</v>
      </c>
      <c r="D407">
        <v>5925.9954365415197</v>
      </c>
      <c r="E407">
        <v>51</v>
      </c>
      <c r="F407">
        <v>51</v>
      </c>
      <c r="K407">
        <v>0.60383925330504695</v>
      </c>
      <c r="L407">
        <v>1.4564448351905901</v>
      </c>
      <c r="M407">
        <v>0.25011158278656997</v>
      </c>
      <c r="N407">
        <v>8938</v>
      </c>
      <c r="R407">
        <v>1846464</v>
      </c>
      <c r="T407">
        <v>5345540</v>
      </c>
    </row>
    <row r="408" spans="1:21" x14ac:dyDescent="0.3">
      <c r="A408" s="1">
        <v>45620</v>
      </c>
      <c r="B408">
        <v>3</v>
      </c>
      <c r="C408">
        <v>1581.8524911197901</v>
      </c>
      <c r="D408">
        <v>118.748629740406</v>
      </c>
      <c r="K408">
        <v>0.31813061226900502</v>
      </c>
      <c r="L408">
        <v>0.32623247820524398</v>
      </c>
      <c r="M408">
        <v>0.271860416072358</v>
      </c>
      <c r="N408">
        <v>206</v>
      </c>
      <c r="T408">
        <v>288747</v>
      </c>
    </row>
    <row r="409" spans="1:21" x14ac:dyDescent="0.3">
      <c r="A409" s="1">
        <v>45621</v>
      </c>
      <c r="B409">
        <v>141</v>
      </c>
      <c r="C409">
        <v>1953.43696266085</v>
      </c>
      <c r="D409">
        <v>5617.8058812314102</v>
      </c>
      <c r="E409">
        <v>73</v>
      </c>
      <c r="F409">
        <v>73</v>
      </c>
      <c r="K409">
        <v>0.63813811695340295</v>
      </c>
      <c r="L409">
        <v>1.5952984733133599</v>
      </c>
      <c r="M409">
        <v>0.26080687619758303</v>
      </c>
      <c r="N409">
        <v>8362</v>
      </c>
      <c r="R409">
        <v>2594934</v>
      </c>
      <c r="T409">
        <v>4176042</v>
      </c>
    </row>
    <row r="410" spans="1:21" x14ac:dyDescent="0.3">
      <c r="A410" s="1">
        <v>45622</v>
      </c>
      <c r="B410">
        <v>89</v>
      </c>
      <c r="C410">
        <v>1832.1318234436201</v>
      </c>
      <c r="D410">
        <v>2996.7138922416998</v>
      </c>
      <c r="E410">
        <v>40</v>
      </c>
      <c r="F410">
        <v>40</v>
      </c>
      <c r="K410">
        <v>0.445291174427212</v>
      </c>
      <c r="L410">
        <v>1.48027628922677</v>
      </c>
      <c r="M410">
        <v>0.25011158278656997</v>
      </c>
      <c r="N410">
        <v>4684</v>
      </c>
      <c r="R410">
        <v>1716992</v>
      </c>
      <c r="T410">
        <v>2939986</v>
      </c>
    </row>
    <row r="411" spans="1:21" x14ac:dyDescent="0.3">
      <c r="A411" s="1">
        <v>45623</v>
      </c>
      <c r="B411">
        <v>84</v>
      </c>
      <c r="C411">
        <v>1768.3016101629401</v>
      </c>
      <c r="D411">
        <v>2604.0580308980002</v>
      </c>
      <c r="E411">
        <v>43</v>
      </c>
      <c r="F411">
        <v>43</v>
      </c>
      <c r="K411">
        <v>0.56253270232067798</v>
      </c>
      <c r="L411">
        <v>1.46072981306682</v>
      </c>
      <c r="M411">
        <v>0.25785084706258898</v>
      </c>
      <c r="N411">
        <v>4004</v>
      </c>
      <c r="R411">
        <v>2057678</v>
      </c>
      <c r="T411">
        <v>1430950</v>
      </c>
    </row>
    <row r="412" spans="1:21" x14ac:dyDescent="0.3">
      <c r="A412" s="1">
        <v>45624</v>
      </c>
      <c r="B412">
        <v>141</v>
      </c>
      <c r="C412">
        <v>1909.6992477234201</v>
      </c>
      <c r="D412">
        <v>6934.71061933282</v>
      </c>
      <c r="E412">
        <v>56</v>
      </c>
      <c r="F412">
        <v>56</v>
      </c>
      <c r="K412">
        <v>0.61542836097535303</v>
      </c>
      <c r="L412">
        <v>1.6757260385457999</v>
      </c>
      <c r="M412">
        <v>0.25011158278656997</v>
      </c>
      <c r="N412">
        <v>10178</v>
      </c>
      <c r="R412">
        <v>1113095</v>
      </c>
      <c r="T412">
        <v>4976909</v>
      </c>
    </row>
    <row r="413" spans="1:21" x14ac:dyDescent="0.3">
      <c r="A413" s="1">
        <v>45625</v>
      </c>
      <c r="B413">
        <v>7</v>
      </c>
      <c r="C413">
        <v>1575.2065405931701</v>
      </c>
      <c r="D413">
        <v>316.92362044019899</v>
      </c>
      <c r="K413">
        <v>0.40816038653127301</v>
      </c>
      <c r="L413">
        <v>2.4069255840248802</v>
      </c>
      <c r="M413">
        <v>0.28273483271525301</v>
      </c>
      <c r="N413">
        <v>533</v>
      </c>
      <c r="T413">
        <v>169573</v>
      </c>
    </row>
    <row r="414" spans="1:21" x14ac:dyDescent="0.3">
      <c r="A414" s="1">
        <v>45626</v>
      </c>
      <c r="B414">
        <v>7</v>
      </c>
      <c r="C414">
        <v>1600.38408303543</v>
      </c>
      <c r="D414">
        <v>291.234984386223</v>
      </c>
      <c r="K414">
        <v>0.38862478492679298</v>
      </c>
      <c r="L414">
        <v>1.2536596219252101</v>
      </c>
      <c r="M414">
        <v>0.26098599942946399</v>
      </c>
      <c r="N414">
        <v>619</v>
      </c>
      <c r="T414">
        <v>621053</v>
      </c>
    </row>
    <row r="415" spans="1:21" x14ac:dyDescent="0.3">
      <c r="A415" s="1">
        <v>45627</v>
      </c>
      <c r="B415">
        <v>59</v>
      </c>
      <c r="C415">
        <v>1739.51349874928</v>
      </c>
      <c r="D415">
        <v>2672.1003883826202</v>
      </c>
      <c r="E415">
        <v>19</v>
      </c>
      <c r="F415">
        <v>16</v>
      </c>
      <c r="K415">
        <v>0.39133444992038502</v>
      </c>
      <c r="L415">
        <v>1.9161390904147</v>
      </c>
      <c r="M415">
        <v>0.26769719397249703</v>
      </c>
      <c r="N415">
        <v>3919</v>
      </c>
      <c r="R415">
        <v>580671</v>
      </c>
      <c r="T415">
        <v>2493145</v>
      </c>
    </row>
    <row r="416" spans="1:21" x14ac:dyDescent="0.3">
      <c r="A416" s="1">
        <v>45628</v>
      </c>
      <c r="B416">
        <v>11</v>
      </c>
      <c r="C416">
        <v>1565.75</v>
      </c>
      <c r="D416">
        <v>577.93162511380297</v>
      </c>
      <c r="E416">
        <v>1</v>
      </c>
      <c r="F416">
        <v>1</v>
      </c>
      <c r="K416">
        <v>0.33502833909568502</v>
      </c>
      <c r="L416">
        <v>1.7670722233251599</v>
      </c>
      <c r="M416">
        <v>0.32623246768636599</v>
      </c>
      <c r="N416">
        <v>1051</v>
      </c>
    </row>
    <row r="417" spans="1:21" x14ac:dyDescent="0.3">
      <c r="A417" s="1">
        <v>45629</v>
      </c>
      <c r="B417">
        <v>70</v>
      </c>
      <c r="C417">
        <v>1777.1072886405</v>
      </c>
      <c r="D417">
        <v>2272.5186602764802</v>
      </c>
      <c r="E417">
        <v>43</v>
      </c>
      <c r="F417">
        <v>43</v>
      </c>
      <c r="K417">
        <v>0.54699592343820103</v>
      </c>
      <c r="L417">
        <v>1.8815726315480299</v>
      </c>
      <c r="M417">
        <v>0.309976508282367</v>
      </c>
      <c r="N417">
        <v>3426</v>
      </c>
      <c r="R417">
        <v>1832661</v>
      </c>
      <c r="T417">
        <v>1829559</v>
      </c>
    </row>
    <row r="418" spans="1:21" x14ac:dyDescent="0.3">
      <c r="A418" s="1">
        <v>45630</v>
      </c>
      <c r="B418">
        <v>114</v>
      </c>
      <c r="C418">
        <v>1916.4688339819099</v>
      </c>
      <c r="D418">
        <v>2625.3591837649301</v>
      </c>
      <c r="E418">
        <v>67</v>
      </c>
      <c r="F418">
        <v>67</v>
      </c>
      <c r="K418">
        <v>0.50731791737786702</v>
      </c>
      <c r="L418">
        <v>1.51956648883774</v>
      </c>
      <c r="M418">
        <v>0.25011158278656997</v>
      </c>
      <c r="N418">
        <v>4155</v>
      </c>
      <c r="R418">
        <v>3755644</v>
      </c>
      <c r="T418">
        <v>2271484</v>
      </c>
    </row>
    <row r="419" spans="1:21" x14ac:dyDescent="0.3">
      <c r="A419" s="1">
        <v>45631</v>
      </c>
      <c r="B419">
        <v>89</v>
      </c>
      <c r="C419">
        <v>1793.09742598002</v>
      </c>
      <c r="D419">
        <v>3322.5580087104299</v>
      </c>
      <c r="E419">
        <v>36</v>
      </c>
      <c r="F419">
        <v>36</v>
      </c>
      <c r="K419">
        <v>0.56423606223711398</v>
      </c>
      <c r="L419">
        <v>1.6409204340400001</v>
      </c>
      <c r="M419">
        <v>0.25011158278656997</v>
      </c>
      <c r="N419">
        <v>5127</v>
      </c>
      <c r="R419">
        <v>1503324</v>
      </c>
      <c r="T419">
        <v>2468596</v>
      </c>
    </row>
    <row r="420" spans="1:21" x14ac:dyDescent="0.3">
      <c r="A420" s="1">
        <v>45632</v>
      </c>
      <c r="C420">
        <v>1565.75</v>
      </c>
      <c r="D420">
        <v>33.275714927256701</v>
      </c>
      <c r="K420">
        <v>0.27729762439380501</v>
      </c>
      <c r="L420">
        <v>0.28273483271525301</v>
      </c>
      <c r="M420">
        <v>0.271860416072358</v>
      </c>
      <c r="N420">
        <v>74</v>
      </c>
    </row>
    <row r="421" spans="1:21" x14ac:dyDescent="0.3">
      <c r="A421" s="1">
        <v>45633</v>
      </c>
      <c r="B421">
        <v>54</v>
      </c>
      <c r="C421">
        <v>1712.57904069867</v>
      </c>
      <c r="D421">
        <v>2112.6662672177399</v>
      </c>
      <c r="E421">
        <v>25</v>
      </c>
      <c r="F421">
        <v>25</v>
      </c>
      <c r="K421">
        <v>0.44644726555089398</v>
      </c>
      <c r="L421">
        <v>1.4569064998612999</v>
      </c>
      <c r="M421">
        <v>0.271860416072358</v>
      </c>
      <c r="N421">
        <v>3133</v>
      </c>
      <c r="R421">
        <v>1010528</v>
      </c>
      <c r="T421">
        <v>1358388</v>
      </c>
      <c r="U421">
        <v>84506</v>
      </c>
    </row>
    <row r="422" spans="1:21" x14ac:dyDescent="0.3">
      <c r="A422" s="1">
        <v>45634</v>
      </c>
      <c r="B422">
        <v>33</v>
      </c>
      <c r="C422">
        <v>1617.9641985553801</v>
      </c>
      <c r="D422">
        <v>1248.6479493766101</v>
      </c>
      <c r="K422">
        <v>0.36083507411269999</v>
      </c>
      <c r="L422">
        <v>1.4938536204131201</v>
      </c>
      <c r="M422">
        <v>0.25011158278656997</v>
      </c>
      <c r="N422">
        <v>2055</v>
      </c>
      <c r="T422">
        <v>936296</v>
      </c>
    </row>
    <row r="423" spans="1:21" x14ac:dyDescent="0.3">
      <c r="A423" s="1">
        <v>45635</v>
      </c>
      <c r="B423">
        <v>2</v>
      </c>
      <c r="C423">
        <v>1565.75</v>
      </c>
      <c r="D423">
        <v>101.78453977749101</v>
      </c>
      <c r="K423">
        <v>0.31862876859104999</v>
      </c>
      <c r="L423">
        <v>0.61098355769825297</v>
      </c>
      <c r="M423">
        <v>0.26098599942946399</v>
      </c>
      <c r="N423">
        <v>247</v>
      </c>
    </row>
    <row r="424" spans="1:21" x14ac:dyDescent="0.3">
      <c r="A424" s="1">
        <v>45636</v>
      </c>
      <c r="B424">
        <v>127</v>
      </c>
      <c r="C424">
        <v>1955.2788822119901</v>
      </c>
      <c r="D424">
        <v>3934.3212293925599</v>
      </c>
      <c r="E424">
        <v>66</v>
      </c>
      <c r="F424">
        <v>66</v>
      </c>
      <c r="K424">
        <v>0.76501964136794898</v>
      </c>
      <c r="L424">
        <v>1.68064968323436</v>
      </c>
      <c r="M424">
        <v>0.25011158278656997</v>
      </c>
      <c r="N424">
        <v>5948</v>
      </c>
      <c r="R424">
        <v>2984026</v>
      </c>
      <c r="T424">
        <v>3792848</v>
      </c>
    </row>
    <row r="425" spans="1:21" x14ac:dyDescent="0.3">
      <c r="A425" s="1">
        <v>45637</v>
      </c>
      <c r="B425">
        <v>38</v>
      </c>
      <c r="C425">
        <v>1659.8557761111099</v>
      </c>
      <c r="D425">
        <v>1633.32702927129</v>
      </c>
      <c r="E425">
        <v>6</v>
      </c>
      <c r="F425">
        <v>6</v>
      </c>
      <c r="K425">
        <v>0.42262007371666699</v>
      </c>
      <c r="L425">
        <v>1.3792942989835899</v>
      </c>
      <c r="M425">
        <v>0.25011158278656997</v>
      </c>
      <c r="N425">
        <v>2628</v>
      </c>
      <c r="T425">
        <v>1687488</v>
      </c>
    </row>
    <row r="426" spans="1:21" x14ac:dyDescent="0.3">
      <c r="A426" s="1">
        <v>45638</v>
      </c>
      <c r="B426">
        <v>92</v>
      </c>
      <c r="C426">
        <v>1850.92949057739</v>
      </c>
      <c r="D426">
        <v>2956.1072730650399</v>
      </c>
      <c r="E426">
        <v>43</v>
      </c>
      <c r="F426">
        <v>43</v>
      </c>
      <c r="K426">
        <v>0.68400509380887997</v>
      </c>
      <c r="L426">
        <v>1.4893494715473801</v>
      </c>
      <c r="M426">
        <v>0.29360924935814697</v>
      </c>
      <c r="N426">
        <v>4424</v>
      </c>
      <c r="R426">
        <v>2083772</v>
      </c>
      <c r="T426">
        <v>2884705</v>
      </c>
    </row>
    <row r="427" spans="1:21" x14ac:dyDescent="0.3">
      <c r="A427" s="1">
        <v>45639</v>
      </c>
      <c r="B427">
        <v>117</v>
      </c>
      <c r="C427">
        <v>1956.67727098201</v>
      </c>
      <c r="D427">
        <v>2947.9006468571001</v>
      </c>
      <c r="E427">
        <v>66</v>
      </c>
      <c r="F427">
        <v>66</v>
      </c>
      <c r="K427">
        <v>0.44979291243448699</v>
      </c>
      <c r="L427">
        <v>1.6016058609411801</v>
      </c>
      <c r="M427">
        <v>0.25011158278656997</v>
      </c>
      <c r="N427">
        <v>4431</v>
      </c>
      <c r="R427">
        <v>3672398</v>
      </c>
      <c r="T427">
        <v>3081546</v>
      </c>
    </row>
    <row r="428" spans="1:21" x14ac:dyDescent="0.3">
      <c r="A428" s="1">
        <v>45640</v>
      </c>
      <c r="B428">
        <v>39</v>
      </c>
      <c r="C428">
        <v>1701.77705130247</v>
      </c>
      <c r="D428">
        <v>1554.4625146802</v>
      </c>
      <c r="E428">
        <v>11</v>
      </c>
      <c r="F428">
        <v>11</v>
      </c>
      <c r="K428">
        <v>0.41205281121152798</v>
      </c>
      <c r="L428">
        <v>1.2857067624151799</v>
      </c>
      <c r="M428">
        <v>0.28273483271525301</v>
      </c>
      <c r="N428">
        <v>2529</v>
      </c>
      <c r="R428">
        <v>539195</v>
      </c>
      <c r="T428">
        <v>1862418</v>
      </c>
    </row>
    <row r="429" spans="1:21" x14ac:dyDescent="0.3">
      <c r="A429" s="1">
        <v>45641</v>
      </c>
      <c r="B429">
        <v>15</v>
      </c>
      <c r="C429">
        <v>1616.9097174416099</v>
      </c>
      <c r="D429">
        <v>161.158854647694</v>
      </c>
      <c r="E429">
        <v>11</v>
      </c>
      <c r="F429">
        <v>11</v>
      </c>
      <c r="K429">
        <v>0.29983933952435898</v>
      </c>
      <c r="L429">
        <v>0.71176731905044199</v>
      </c>
      <c r="M429">
        <v>0.271860416072358</v>
      </c>
      <c r="N429">
        <v>279</v>
      </c>
      <c r="R429">
        <v>771034</v>
      </c>
      <c r="T429">
        <v>92585</v>
      </c>
    </row>
    <row r="430" spans="1:21" x14ac:dyDescent="0.3">
      <c r="A430" s="1">
        <v>45642</v>
      </c>
      <c r="B430">
        <v>122</v>
      </c>
      <c r="C430">
        <v>1933.1830749575599</v>
      </c>
      <c r="D430">
        <v>4540.04468666925</v>
      </c>
      <c r="E430">
        <v>58</v>
      </c>
      <c r="F430">
        <v>58</v>
      </c>
      <c r="K430">
        <v>0.64793274647044197</v>
      </c>
      <c r="L430">
        <v>1.4496700153534201</v>
      </c>
      <c r="M430">
        <v>0.25825845138221398</v>
      </c>
      <c r="N430">
        <v>6733</v>
      </c>
      <c r="R430">
        <v>1887795</v>
      </c>
      <c r="T430">
        <v>4569305</v>
      </c>
    </row>
    <row r="431" spans="1:21" x14ac:dyDescent="0.3">
      <c r="A431" s="1">
        <v>45643</v>
      </c>
      <c r="B431">
        <v>67</v>
      </c>
      <c r="C431">
        <v>1761.2116512586799</v>
      </c>
      <c r="D431">
        <v>2616.2101238405799</v>
      </c>
      <c r="E431">
        <v>30</v>
      </c>
      <c r="F431">
        <v>30</v>
      </c>
      <c r="K431">
        <v>0.56998709259504898</v>
      </c>
      <c r="L431">
        <v>1.6064227464221801</v>
      </c>
      <c r="M431">
        <v>0.26527337000784901</v>
      </c>
      <c r="N431">
        <v>4100</v>
      </c>
      <c r="R431">
        <v>1015912</v>
      </c>
      <c r="T431">
        <v>2418227</v>
      </c>
    </row>
    <row r="432" spans="1:21" x14ac:dyDescent="0.3">
      <c r="A432" s="1">
        <v>45644</v>
      </c>
      <c r="B432">
        <v>16</v>
      </c>
      <c r="C432">
        <v>1615.2015253480599</v>
      </c>
      <c r="D432">
        <v>935.78658177299201</v>
      </c>
      <c r="E432">
        <v>2</v>
      </c>
      <c r="F432">
        <v>2</v>
      </c>
      <c r="K432">
        <v>0.41541352321616498</v>
      </c>
      <c r="L432">
        <v>1.5270409288789399</v>
      </c>
      <c r="M432">
        <v>0.271860416072358</v>
      </c>
      <c r="N432">
        <v>1599</v>
      </c>
      <c r="T432">
        <v>886755</v>
      </c>
    </row>
    <row r="433" spans="1:21" x14ac:dyDescent="0.3">
      <c r="A433" s="1">
        <v>45645</v>
      </c>
      <c r="B433">
        <v>95</v>
      </c>
      <c r="C433">
        <v>1766.19977676235</v>
      </c>
      <c r="D433">
        <v>4281.1475080008904</v>
      </c>
      <c r="E433">
        <v>15</v>
      </c>
      <c r="F433">
        <v>15</v>
      </c>
      <c r="K433">
        <v>0.593562225503519</v>
      </c>
      <c r="L433">
        <v>1.52528071534987</v>
      </c>
      <c r="M433">
        <v>0.26098599942946399</v>
      </c>
      <c r="N433">
        <v>6741</v>
      </c>
      <c r="T433">
        <v>3594431</v>
      </c>
    </row>
    <row r="434" spans="1:21" x14ac:dyDescent="0.3">
      <c r="A434" s="1">
        <v>45646</v>
      </c>
      <c r="B434">
        <v>107</v>
      </c>
      <c r="C434">
        <v>1734.0055544822501</v>
      </c>
      <c r="D434">
        <v>4122.3543200583599</v>
      </c>
      <c r="K434">
        <v>0.37704477365480898</v>
      </c>
      <c r="L434">
        <v>1.4672278785992301</v>
      </c>
      <c r="M434">
        <v>0.24925460325688101</v>
      </c>
      <c r="N434">
        <v>6714</v>
      </c>
      <c r="T434">
        <v>3017129</v>
      </c>
    </row>
    <row r="435" spans="1:21" x14ac:dyDescent="0.3">
      <c r="A435" s="1">
        <v>45647</v>
      </c>
      <c r="B435">
        <v>80</v>
      </c>
      <c r="C435">
        <v>1674.7525709736999</v>
      </c>
      <c r="D435">
        <v>4136.7765800063898</v>
      </c>
      <c r="E435">
        <v>6</v>
      </c>
      <c r="F435">
        <v>6</v>
      </c>
      <c r="K435">
        <v>0.39890610686509198</v>
      </c>
      <c r="L435">
        <v>1.3989016681158799</v>
      </c>
      <c r="M435">
        <v>0.25011158278656997</v>
      </c>
      <c r="N435">
        <v>6537</v>
      </c>
      <c r="T435">
        <v>1954614</v>
      </c>
    </row>
    <row r="436" spans="1:21" x14ac:dyDescent="0.3">
      <c r="A436" s="1">
        <v>45648</v>
      </c>
      <c r="B436">
        <v>38</v>
      </c>
      <c r="C436">
        <v>1624.90567400752</v>
      </c>
      <c r="D436">
        <v>1561.0757541016301</v>
      </c>
      <c r="E436">
        <v>4</v>
      </c>
      <c r="F436">
        <v>4</v>
      </c>
      <c r="K436">
        <v>0.36667452972914699</v>
      </c>
      <c r="L436">
        <v>1.5345464493699199</v>
      </c>
      <c r="M436">
        <v>0.27002813772912299</v>
      </c>
      <c r="N436">
        <v>2440</v>
      </c>
      <c r="T436">
        <v>1060769</v>
      </c>
    </row>
    <row r="437" spans="1:21" x14ac:dyDescent="0.3">
      <c r="A437" s="1">
        <v>45649</v>
      </c>
      <c r="B437">
        <v>17</v>
      </c>
      <c r="C437">
        <v>1593.0846489877699</v>
      </c>
      <c r="D437">
        <v>646.44049118027203</v>
      </c>
      <c r="E437">
        <v>1</v>
      </c>
      <c r="F437">
        <v>1</v>
      </c>
      <c r="K437">
        <v>0.34809449539620102</v>
      </c>
      <c r="L437">
        <v>1.20635644862779</v>
      </c>
      <c r="M437">
        <v>0.26098599942946399</v>
      </c>
      <c r="N437">
        <v>1118</v>
      </c>
      <c r="T437">
        <v>490161</v>
      </c>
    </row>
    <row r="438" spans="1:21" x14ac:dyDescent="0.3">
      <c r="A438" s="1">
        <v>45650</v>
      </c>
      <c r="B438">
        <v>9</v>
      </c>
      <c r="C438">
        <v>1578.3043853559</v>
      </c>
      <c r="D438">
        <v>623.23875642602604</v>
      </c>
      <c r="K438">
        <v>0.35766695433295298</v>
      </c>
      <c r="L438">
        <v>1.7515224965320499</v>
      </c>
      <c r="M438">
        <v>0.25011158278656997</v>
      </c>
      <c r="N438">
        <v>1164</v>
      </c>
      <c r="T438">
        <v>225123</v>
      </c>
    </row>
    <row r="439" spans="1:21" x14ac:dyDescent="0.3">
      <c r="A439" s="1">
        <v>45651</v>
      </c>
      <c r="B439">
        <v>209</v>
      </c>
      <c r="C439">
        <v>2193.8206404528901</v>
      </c>
      <c r="D439">
        <v>11754.0224969016</v>
      </c>
      <c r="E439">
        <v>70</v>
      </c>
      <c r="F439">
        <v>70</v>
      </c>
      <c r="K439">
        <v>0.50149121595764701</v>
      </c>
      <c r="L439">
        <v>1.53504436097522</v>
      </c>
      <c r="M439">
        <v>0.24968050002049899</v>
      </c>
      <c r="N439">
        <v>17321</v>
      </c>
      <c r="T439">
        <v>11262453</v>
      </c>
    </row>
    <row r="440" spans="1:21" x14ac:dyDescent="0.3">
      <c r="A440" s="1">
        <v>45652</v>
      </c>
      <c r="B440">
        <v>6</v>
      </c>
      <c r="C440">
        <v>1631.0383713727799</v>
      </c>
      <c r="D440">
        <v>326.189335214224</v>
      </c>
      <c r="K440">
        <v>0.75794953744848603</v>
      </c>
      <c r="L440">
        <v>1.5124282812540499</v>
      </c>
      <c r="M440">
        <v>0.28273483271525301</v>
      </c>
      <c r="N440">
        <v>702</v>
      </c>
      <c r="T440">
        <v>747574</v>
      </c>
      <c r="U440">
        <v>184781</v>
      </c>
    </row>
    <row r="441" spans="1:21" x14ac:dyDescent="0.3">
      <c r="A441" s="1">
        <v>45653</v>
      </c>
      <c r="B441">
        <v>107</v>
      </c>
      <c r="C441">
        <v>1880.76290951754</v>
      </c>
      <c r="D441">
        <v>5093.3281142776304</v>
      </c>
      <c r="E441">
        <v>14</v>
      </c>
      <c r="F441">
        <v>14</v>
      </c>
      <c r="K441">
        <v>0.66977386868289102</v>
      </c>
      <c r="L441">
        <v>1.9663441128429</v>
      </c>
      <c r="M441">
        <v>0.26049111689001198</v>
      </c>
      <c r="N441">
        <v>7818</v>
      </c>
      <c r="R441">
        <v>214886</v>
      </c>
      <c r="T441">
        <v>5418885</v>
      </c>
    </row>
    <row r="442" spans="1:21" x14ac:dyDescent="0.3">
      <c r="A442" s="1">
        <v>45654</v>
      </c>
      <c r="B442">
        <v>49</v>
      </c>
      <c r="C442">
        <v>1675.3195359690001</v>
      </c>
      <c r="D442">
        <v>1699.7637894117299</v>
      </c>
      <c r="K442">
        <v>0.44846505729250202</v>
      </c>
      <c r="L442">
        <v>1.25182762250978</v>
      </c>
      <c r="M442">
        <v>0.26294934819931098</v>
      </c>
      <c r="N442">
        <v>3043</v>
      </c>
      <c r="T442">
        <v>1964782</v>
      </c>
    </row>
    <row r="443" spans="1:21" x14ac:dyDescent="0.3">
      <c r="A443" s="1">
        <v>45655</v>
      </c>
      <c r="B443">
        <v>70</v>
      </c>
      <c r="C443">
        <v>1797.7245848427899</v>
      </c>
      <c r="D443">
        <v>3614.8201392327801</v>
      </c>
      <c r="E443">
        <v>15</v>
      </c>
      <c r="F443">
        <v>15</v>
      </c>
      <c r="K443">
        <v>0.38481021528570297</v>
      </c>
      <c r="L443">
        <v>1.52604243241597</v>
      </c>
      <c r="M443">
        <v>0.25011158278656997</v>
      </c>
      <c r="N443">
        <v>5593</v>
      </c>
      <c r="T443">
        <v>4159726</v>
      </c>
    </row>
    <row r="444" spans="1:21" x14ac:dyDescent="0.3">
      <c r="A444" s="1">
        <v>45656</v>
      </c>
      <c r="B444">
        <v>56</v>
      </c>
      <c r="C444">
        <v>1833.44220158652</v>
      </c>
      <c r="D444">
        <v>3140.3140131688501</v>
      </c>
      <c r="E444">
        <v>17</v>
      </c>
      <c r="F444">
        <v>17</v>
      </c>
      <c r="K444">
        <v>0.46693773333931898</v>
      </c>
      <c r="L444">
        <v>2.4977922741074798</v>
      </c>
      <c r="M444">
        <v>0.25011158278656997</v>
      </c>
      <c r="N444">
        <v>4980</v>
      </c>
      <c r="T444">
        <v>4800210</v>
      </c>
    </row>
    <row r="445" spans="1:21" x14ac:dyDescent="0.3">
      <c r="A445" s="1">
        <v>45657</v>
      </c>
      <c r="B445">
        <v>93</v>
      </c>
      <c r="C445">
        <v>1902.4015736854999</v>
      </c>
      <c r="D445">
        <v>5478.2713770713999</v>
      </c>
      <c r="E445">
        <v>38</v>
      </c>
      <c r="F445">
        <v>37</v>
      </c>
      <c r="K445">
        <v>0.57238522736230901</v>
      </c>
      <c r="L445">
        <v>2.1636436924521698</v>
      </c>
      <c r="M445">
        <v>0.25011158278656997</v>
      </c>
      <c r="N445">
        <v>8125</v>
      </c>
      <c r="T445">
        <v>6036777</v>
      </c>
    </row>
    <row r="446" spans="1:21" x14ac:dyDescent="0.3">
      <c r="A446" s="1">
        <v>45658</v>
      </c>
      <c r="B446">
        <v>27</v>
      </c>
      <c r="C446">
        <v>1608.51448964317</v>
      </c>
      <c r="D446">
        <v>1145.96715731429</v>
      </c>
      <c r="K446">
        <v>0.38893957499401799</v>
      </c>
      <c r="L446">
        <v>1.25561139358713</v>
      </c>
      <c r="M446">
        <v>0.25011158278656997</v>
      </c>
      <c r="N446">
        <v>2053</v>
      </c>
      <c r="T446">
        <v>766846</v>
      </c>
    </row>
    <row r="447" spans="1:21" x14ac:dyDescent="0.3">
      <c r="A447" s="1">
        <v>45659</v>
      </c>
      <c r="B447">
        <v>98</v>
      </c>
      <c r="C447">
        <v>1862.7644592776101</v>
      </c>
      <c r="D447">
        <v>5661.3798769906398</v>
      </c>
      <c r="E447">
        <v>42</v>
      </c>
      <c r="F447">
        <v>42</v>
      </c>
      <c r="K447">
        <v>0.46985249188655298</v>
      </c>
      <c r="L447">
        <v>1.4116628645574401</v>
      </c>
      <c r="M447">
        <v>0.26028465561586001</v>
      </c>
      <c r="N447">
        <v>8494</v>
      </c>
      <c r="T447">
        <v>5326013</v>
      </c>
    </row>
    <row r="448" spans="1:21" x14ac:dyDescent="0.3">
      <c r="A448" s="1">
        <v>45660</v>
      </c>
      <c r="B448">
        <v>74</v>
      </c>
      <c r="C448">
        <v>1799.33494866766</v>
      </c>
      <c r="D448">
        <v>3917.4690151812702</v>
      </c>
      <c r="E448">
        <v>17</v>
      </c>
      <c r="F448">
        <v>17</v>
      </c>
      <c r="K448">
        <v>0.57000533942411502</v>
      </c>
      <c r="L448">
        <v>1.4521614017961999</v>
      </c>
      <c r="M448">
        <v>0.25011158278656997</v>
      </c>
      <c r="N448">
        <v>5993</v>
      </c>
      <c r="T448">
        <v>4188606</v>
      </c>
    </row>
    <row r="449" spans="1:21" x14ac:dyDescent="0.3">
      <c r="A449" s="1">
        <v>45661</v>
      </c>
      <c r="B449">
        <v>60</v>
      </c>
      <c r="C449">
        <v>1666.45388010231</v>
      </c>
      <c r="D449">
        <v>2623.2832200988601</v>
      </c>
      <c r="E449">
        <v>9</v>
      </c>
      <c r="F449">
        <v>9</v>
      </c>
      <c r="K449">
        <v>0.44900773335994398</v>
      </c>
      <c r="L449">
        <v>1.60773971460953</v>
      </c>
      <c r="M449">
        <v>0.25428934423961602</v>
      </c>
      <c r="N449">
        <v>4002</v>
      </c>
      <c r="S449">
        <v>18027</v>
      </c>
      <c r="T449">
        <v>1805804</v>
      </c>
    </row>
    <row r="450" spans="1:21" x14ac:dyDescent="0.3">
      <c r="A450" s="1">
        <v>45662</v>
      </c>
      <c r="B450">
        <v>207</v>
      </c>
      <c r="C450">
        <v>2186.7582457029598</v>
      </c>
      <c r="D450">
        <v>10604.3626625741</v>
      </c>
      <c r="E450">
        <v>48</v>
      </c>
      <c r="F450">
        <v>47</v>
      </c>
      <c r="K450">
        <v>0.52780205530004398</v>
      </c>
      <c r="L450">
        <v>1.91179289401998</v>
      </c>
      <c r="M450">
        <v>0.24520436835753401</v>
      </c>
      <c r="N450">
        <v>16159</v>
      </c>
      <c r="T450">
        <v>10886003</v>
      </c>
      <c r="U450">
        <v>109043</v>
      </c>
    </row>
    <row r="451" spans="1:21" x14ac:dyDescent="0.3">
      <c r="A451" s="1">
        <v>45663</v>
      </c>
      <c r="B451">
        <v>140</v>
      </c>
      <c r="C451">
        <v>1918.78675472183</v>
      </c>
      <c r="D451">
        <v>5398.2447565202801</v>
      </c>
      <c r="E451">
        <v>60</v>
      </c>
      <c r="F451">
        <v>60</v>
      </c>
      <c r="K451">
        <v>0.49520657324112299</v>
      </c>
      <c r="L451">
        <v>1.5900125503932601</v>
      </c>
      <c r="M451">
        <v>0.25011158278656997</v>
      </c>
      <c r="N451">
        <v>8329</v>
      </c>
      <c r="R451">
        <v>2159533</v>
      </c>
      <c r="T451">
        <v>4020463</v>
      </c>
    </row>
    <row r="452" spans="1:21" x14ac:dyDescent="0.3">
      <c r="A452" s="1">
        <v>45664</v>
      </c>
      <c r="B452">
        <v>63</v>
      </c>
      <c r="C452">
        <v>1713.2722332692899</v>
      </c>
      <c r="D452">
        <v>2943.78076380742</v>
      </c>
      <c r="E452">
        <v>6</v>
      </c>
      <c r="F452">
        <v>6</v>
      </c>
      <c r="K452">
        <v>0.50200339602682598</v>
      </c>
      <c r="L452">
        <v>1.3453923372171499</v>
      </c>
      <c r="M452">
        <v>0.26098599942946399</v>
      </c>
      <c r="N452">
        <v>4774</v>
      </c>
      <c r="T452">
        <v>2645343</v>
      </c>
    </row>
    <row r="453" spans="1:21" x14ac:dyDescent="0.3">
      <c r="A453" s="1">
        <v>45665</v>
      </c>
      <c r="B453">
        <v>109</v>
      </c>
      <c r="C453">
        <v>1859.92713412745</v>
      </c>
      <c r="D453">
        <v>2513.66784051272</v>
      </c>
      <c r="E453">
        <v>53</v>
      </c>
      <c r="F453">
        <v>53</v>
      </c>
      <c r="K453">
        <v>0.49868494223493898</v>
      </c>
      <c r="L453">
        <v>1.6192163882789401</v>
      </c>
      <c r="M453">
        <v>0.25011158278656997</v>
      </c>
      <c r="N453">
        <v>4196</v>
      </c>
      <c r="R453">
        <v>2958815</v>
      </c>
      <c r="T453">
        <v>2109983</v>
      </c>
    </row>
    <row r="454" spans="1:21" x14ac:dyDescent="0.3">
      <c r="A454" s="1">
        <v>45666</v>
      </c>
      <c r="B454">
        <v>84</v>
      </c>
      <c r="C454">
        <v>1735.00728776557</v>
      </c>
      <c r="D454">
        <v>3427.9739504126301</v>
      </c>
      <c r="K454">
        <v>0.505921124499492</v>
      </c>
      <c r="L454">
        <v>1.6595931816771801</v>
      </c>
      <c r="M454">
        <v>0.25011158278656997</v>
      </c>
      <c r="N454">
        <v>5557</v>
      </c>
      <c r="T454">
        <v>2820734</v>
      </c>
      <c r="U454">
        <v>93602</v>
      </c>
    </row>
    <row r="455" spans="1:21" x14ac:dyDescent="0.3">
      <c r="A455" s="1">
        <v>45667</v>
      </c>
      <c r="B455">
        <v>24</v>
      </c>
      <c r="C455">
        <v>1583.5589546614499</v>
      </c>
      <c r="D455">
        <v>772.78958801869499</v>
      </c>
      <c r="K455">
        <v>0.32872402532649603</v>
      </c>
      <c r="L455">
        <v>1.3849188895350499</v>
      </c>
      <c r="M455">
        <v>0.25011158278656997</v>
      </c>
      <c r="N455">
        <v>1286</v>
      </c>
      <c r="T455">
        <v>319347</v>
      </c>
    </row>
    <row r="456" spans="1:21" x14ac:dyDescent="0.3">
      <c r="A456" s="1">
        <v>45668</v>
      </c>
      <c r="B456">
        <v>70</v>
      </c>
      <c r="C456">
        <v>1810.6309825752301</v>
      </c>
      <c r="D456">
        <v>3780.7629921431298</v>
      </c>
      <c r="E456">
        <v>24</v>
      </c>
      <c r="F456">
        <v>24</v>
      </c>
      <c r="K456">
        <v>0.43307645638067599</v>
      </c>
      <c r="L456">
        <v>1.43931193491766</v>
      </c>
      <c r="M456">
        <v>0.26098599942946399</v>
      </c>
      <c r="N456">
        <v>5847</v>
      </c>
      <c r="T456">
        <v>4391164</v>
      </c>
    </row>
    <row r="457" spans="1:21" x14ac:dyDescent="0.3">
      <c r="A457" s="1">
        <v>45669</v>
      </c>
      <c r="B457">
        <v>104</v>
      </c>
      <c r="C457">
        <v>1724.1900320944901</v>
      </c>
      <c r="D457">
        <v>3978.6329145433001</v>
      </c>
      <c r="E457">
        <v>3</v>
      </c>
      <c r="F457">
        <v>3</v>
      </c>
      <c r="K457">
        <v>0.40742804106604802</v>
      </c>
      <c r="L457">
        <v>1.5255227366572801</v>
      </c>
      <c r="M457">
        <v>0.25011158278656997</v>
      </c>
      <c r="N457">
        <v>6319</v>
      </c>
      <c r="T457">
        <v>2841120</v>
      </c>
    </row>
    <row r="458" spans="1:21" x14ac:dyDescent="0.3">
      <c r="A458" s="1">
        <v>45670</v>
      </c>
      <c r="B458">
        <v>159</v>
      </c>
      <c r="C458">
        <v>2031.12777892587</v>
      </c>
      <c r="D458">
        <v>6248.5209220159604</v>
      </c>
      <c r="E458">
        <v>65</v>
      </c>
      <c r="F458">
        <v>65</v>
      </c>
      <c r="K458">
        <v>0.60649063676751402</v>
      </c>
      <c r="L458">
        <v>1.49412504594944</v>
      </c>
      <c r="M458">
        <v>0.25011158278656997</v>
      </c>
      <c r="N458">
        <v>9543</v>
      </c>
      <c r="R458">
        <v>2370590</v>
      </c>
      <c r="T458">
        <v>5809171</v>
      </c>
    </row>
    <row r="459" spans="1:21" x14ac:dyDescent="0.3">
      <c r="A459" s="1">
        <v>45671</v>
      </c>
      <c r="B459">
        <v>76</v>
      </c>
      <c r="C459">
        <v>1724.4331370851301</v>
      </c>
      <c r="D459">
        <v>3047.3250671619498</v>
      </c>
      <c r="E459">
        <v>31</v>
      </c>
      <c r="F459">
        <v>31</v>
      </c>
      <c r="K459">
        <v>0.530094873051556</v>
      </c>
      <c r="L459">
        <v>1.52429385955862</v>
      </c>
      <c r="M459">
        <v>0.25466207487895098</v>
      </c>
      <c r="N459">
        <v>4725</v>
      </c>
      <c r="R459">
        <v>1176610</v>
      </c>
      <c r="T459">
        <v>1586818</v>
      </c>
    </row>
    <row r="460" spans="1:21" x14ac:dyDescent="0.3">
      <c r="A460" s="1">
        <v>45672</v>
      </c>
      <c r="B460">
        <v>90</v>
      </c>
      <c r="C460">
        <v>1802.1957564597201</v>
      </c>
      <c r="D460">
        <v>3213.7546221132902</v>
      </c>
      <c r="E460">
        <v>42</v>
      </c>
      <c r="F460">
        <v>42</v>
      </c>
      <c r="K460">
        <v>0.55122022700323603</v>
      </c>
      <c r="L460">
        <v>2.40857846034478</v>
      </c>
      <c r="M460">
        <v>0.25011158278656997</v>
      </c>
      <c r="N460">
        <v>5052</v>
      </c>
      <c r="R460">
        <v>1581184</v>
      </c>
      <c r="T460">
        <v>2548456</v>
      </c>
    </row>
    <row r="461" spans="1:21" x14ac:dyDescent="0.3">
      <c r="A461" s="1">
        <v>45673</v>
      </c>
      <c r="B461">
        <v>68</v>
      </c>
      <c r="C461">
        <v>1765.51672313678</v>
      </c>
      <c r="D461">
        <v>2902.9410011220002</v>
      </c>
      <c r="E461">
        <v>31</v>
      </c>
      <c r="F461">
        <v>31</v>
      </c>
      <c r="K461">
        <v>0.65174726426729701</v>
      </c>
      <c r="L461">
        <v>2.2714050750604802</v>
      </c>
      <c r="M461">
        <v>0.25011158278656997</v>
      </c>
      <c r="N461">
        <v>4272</v>
      </c>
      <c r="R461">
        <v>862070</v>
      </c>
      <c r="T461">
        <v>2659996</v>
      </c>
    </row>
    <row r="462" spans="1:21" x14ac:dyDescent="0.3">
      <c r="A462" s="1">
        <v>45674</v>
      </c>
      <c r="B462">
        <v>141</v>
      </c>
      <c r="C462">
        <v>1965.7179825252199</v>
      </c>
      <c r="D462">
        <v>4353.2396241850001</v>
      </c>
      <c r="E462">
        <v>40</v>
      </c>
      <c r="F462">
        <v>40</v>
      </c>
      <c r="K462">
        <v>0.44622251831184201</v>
      </c>
      <c r="L462">
        <v>1.4940778799034899</v>
      </c>
      <c r="M462">
        <v>0.26098599942946399</v>
      </c>
      <c r="N462">
        <v>6793</v>
      </c>
      <c r="R462">
        <v>2203808</v>
      </c>
      <c r="T462">
        <v>4814666</v>
      </c>
    </row>
    <row r="463" spans="1:21" x14ac:dyDescent="0.3">
      <c r="A463" s="1">
        <v>45675</v>
      </c>
      <c r="B463">
        <v>100</v>
      </c>
      <c r="C463">
        <v>1891.83942105248</v>
      </c>
      <c r="D463">
        <v>4777.0804474624301</v>
      </c>
      <c r="E463">
        <v>33</v>
      </c>
      <c r="F463">
        <v>33</v>
      </c>
      <c r="K463">
        <v>0.57406418850635899</v>
      </c>
      <c r="L463">
        <v>1.63498184041474</v>
      </c>
      <c r="M463">
        <v>0.26098599942946399</v>
      </c>
      <c r="N463">
        <v>7223</v>
      </c>
      <c r="R463">
        <v>604901</v>
      </c>
      <c r="T463">
        <v>5200293</v>
      </c>
    </row>
    <row r="464" spans="1:21" x14ac:dyDescent="0.3">
      <c r="A464" s="1">
        <v>45676</v>
      </c>
      <c r="B464">
        <v>16</v>
      </c>
      <c r="C464">
        <v>1597.1518848061301</v>
      </c>
      <c r="D464">
        <v>946.52626156171402</v>
      </c>
      <c r="E464">
        <v>3</v>
      </c>
      <c r="F464">
        <v>3</v>
      </c>
      <c r="K464">
        <v>0.39999329526468402</v>
      </c>
      <c r="L464">
        <v>1.44948066354764</v>
      </c>
      <c r="M464">
        <v>0.25011158278656997</v>
      </c>
      <c r="N464">
        <v>1569</v>
      </c>
      <c r="T464">
        <v>563093</v>
      </c>
    </row>
    <row r="465" spans="1:21" x14ac:dyDescent="0.3">
      <c r="A465" s="1">
        <v>45677</v>
      </c>
      <c r="B465">
        <v>133</v>
      </c>
      <c r="C465">
        <v>1952.4344264612</v>
      </c>
      <c r="D465">
        <v>5039.6793522211701</v>
      </c>
      <c r="E465">
        <v>34</v>
      </c>
      <c r="F465">
        <v>34</v>
      </c>
      <c r="K465">
        <v>0.72158058960211902</v>
      </c>
      <c r="L465">
        <v>1.62679891603863</v>
      </c>
      <c r="M465">
        <v>0.24566583394284899</v>
      </c>
      <c r="N465">
        <v>7828</v>
      </c>
      <c r="R465">
        <v>1583271</v>
      </c>
      <c r="T465">
        <v>5240092</v>
      </c>
    </row>
    <row r="466" spans="1:21" x14ac:dyDescent="0.3">
      <c r="A466" s="1">
        <v>45678</v>
      </c>
      <c r="B466">
        <v>137</v>
      </c>
      <c r="C466">
        <v>1971.54692826736</v>
      </c>
      <c r="D466">
        <v>5135.4983127693204</v>
      </c>
      <c r="E466">
        <v>57</v>
      </c>
      <c r="F466">
        <v>57</v>
      </c>
      <c r="K466">
        <v>0.57018805513897097</v>
      </c>
      <c r="L466">
        <v>1.50249797281005</v>
      </c>
      <c r="M466">
        <v>0.24377525885740201</v>
      </c>
      <c r="N466">
        <v>7714</v>
      </c>
      <c r="R466">
        <v>2006997</v>
      </c>
      <c r="T466">
        <v>4897265</v>
      </c>
      <c r="U466">
        <v>101507</v>
      </c>
    </row>
    <row r="467" spans="1:21" x14ac:dyDescent="0.3">
      <c r="A467" s="1">
        <v>45679</v>
      </c>
      <c r="B467">
        <v>96</v>
      </c>
      <c r="C467">
        <v>1888.5137036425101</v>
      </c>
      <c r="D467">
        <v>3295.6071060498398</v>
      </c>
      <c r="E467">
        <v>46</v>
      </c>
      <c r="F467">
        <v>46</v>
      </c>
      <c r="K467">
        <v>0.62228193300562995</v>
      </c>
      <c r="L467">
        <v>1.6033803537756099</v>
      </c>
      <c r="M467">
        <v>0.277742680035029</v>
      </c>
      <c r="N467">
        <v>5220</v>
      </c>
      <c r="R467">
        <v>2057483</v>
      </c>
      <c r="T467">
        <v>3586780</v>
      </c>
    </row>
    <row r="468" spans="1:21" x14ac:dyDescent="0.3">
      <c r="A468" s="1">
        <v>45680</v>
      </c>
      <c r="B468">
        <v>59</v>
      </c>
      <c r="C468">
        <v>1730.46971333954</v>
      </c>
      <c r="D468">
        <v>1127.22893939748</v>
      </c>
      <c r="E468">
        <v>29</v>
      </c>
      <c r="F468">
        <v>29</v>
      </c>
      <c r="K468">
        <v>0.44068841011843102</v>
      </c>
      <c r="L468">
        <v>1.26464238256828</v>
      </c>
      <c r="M468">
        <v>0.27141951028869599</v>
      </c>
      <c r="N468">
        <v>1902</v>
      </c>
      <c r="R468">
        <v>1918912</v>
      </c>
      <c r="T468">
        <v>900998</v>
      </c>
    </row>
    <row r="469" spans="1:21" x14ac:dyDescent="0.3">
      <c r="A469" s="1">
        <v>45681</v>
      </c>
      <c r="B469">
        <v>60</v>
      </c>
      <c r="C469">
        <v>1818.48832614666</v>
      </c>
      <c r="D469">
        <v>3181.86638098299</v>
      </c>
      <c r="E469">
        <v>15</v>
      </c>
      <c r="F469">
        <v>15</v>
      </c>
      <c r="K469">
        <v>0.50913583200132795</v>
      </c>
      <c r="L469">
        <v>1.6502858614547899</v>
      </c>
      <c r="M469">
        <v>0.25011158278656997</v>
      </c>
      <c r="N469">
        <v>4907</v>
      </c>
      <c r="T469">
        <v>3158004</v>
      </c>
      <c r="U469">
        <v>600000</v>
      </c>
    </row>
    <row r="470" spans="1:21" x14ac:dyDescent="0.3">
      <c r="A470" s="1">
        <v>45682</v>
      </c>
      <c r="B470">
        <v>93</v>
      </c>
      <c r="C470">
        <v>1847.4371756237199</v>
      </c>
      <c r="D470">
        <v>3257.73800277905</v>
      </c>
      <c r="E470">
        <v>33</v>
      </c>
      <c r="F470">
        <v>33</v>
      </c>
      <c r="K470">
        <v>0.49937574405486002</v>
      </c>
      <c r="L470">
        <v>1.5156730260036899</v>
      </c>
      <c r="M470">
        <v>0.24716500131272001</v>
      </c>
      <c r="N470">
        <v>5126</v>
      </c>
      <c r="R470">
        <v>1466430</v>
      </c>
      <c r="T470">
        <v>3482474</v>
      </c>
    </row>
    <row r="471" spans="1:21" x14ac:dyDescent="0.3">
      <c r="A471" s="1">
        <v>45683</v>
      </c>
      <c r="B471">
        <v>149</v>
      </c>
      <c r="C471">
        <v>2083.93783942646</v>
      </c>
      <c r="D471">
        <v>8650.5359050744191</v>
      </c>
      <c r="E471">
        <v>79</v>
      </c>
      <c r="F471">
        <v>79</v>
      </c>
      <c r="K471">
        <v>0.56216667157373101</v>
      </c>
      <c r="L471">
        <v>1.5661663164434101</v>
      </c>
      <c r="M471">
        <v>0.26098599942946399</v>
      </c>
      <c r="N471">
        <v>12645</v>
      </c>
      <c r="R471">
        <v>951808</v>
      </c>
      <c r="T471">
        <v>8273870</v>
      </c>
    </row>
    <row r="472" spans="1:21" x14ac:dyDescent="0.3">
      <c r="A472" s="1">
        <v>45684</v>
      </c>
      <c r="B472">
        <v>159</v>
      </c>
      <c r="C472">
        <v>2003.8875512141501</v>
      </c>
      <c r="D472">
        <v>9769.1995772261707</v>
      </c>
      <c r="E472">
        <v>73</v>
      </c>
      <c r="F472">
        <v>73</v>
      </c>
      <c r="K472">
        <v>0.59595676178700996</v>
      </c>
      <c r="L472">
        <v>1.96506704249069</v>
      </c>
      <c r="M472">
        <v>0.24973540491349999</v>
      </c>
      <c r="N472">
        <v>13949</v>
      </c>
      <c r="T472">
        <v>7830270</v>
      </c>
    </row>
    <row r="473" spans="1:21" x14ac:dyDescent="0.3">
      <c r="A473" s="1">
        <v>45685</v>
      </c>
      <c r="B473">
        <v>102</v>
      </c>
      <c r="C473">
        <v>1811.6204891485399</v>
      </c>
      <c r="D473">
        <v>6932.3079374601703</v>
      </c>
      <c r="E473">
        <v>62</v>
      </c>
      <c r="F473">
        <v>62</v>
      </c>
      <c r="K473">
        <v>0.49003052948889803</v>
      </c>
      <c r="L473">
        <v>1.5359104921179201</v>
      </c>
      <c r="M473">
        <v>0.25069978973791501</v>
      </c>
      <c r="N473">
        <v>9933</v>
      </c>
      <c r="T473">
        <v>4408905</v>
      </c>
    </row>
    <row r="474" spans="1:21" x14ac:dyDescent="0.3">
      <c r="A474" s="1">
        <v>45686</v>
      </c>
      <c r="B474">
        <v>85</v>
      </c>
      <c r="C474">
        <v>1779.1721522285</v>
      </c>
      <c r="D474">
        <v>5223.4855603696597</v>
      </c>
      <c r="E474">
        <v>51</v>
      </c>
      <c r="F474">
        <v>51</v>
      </c>
      <c r="K474">
        <v>0.44741199861264502</v>
      </c>
      <c r="L474">
        <v>1.6007096753448</v>
      </c>
      <c r="M474">
        <v>0.25011158278656997</v>
      </c>
      <c r="N474">
        <v>7306</v>
      </c>
      <c r="R474">
        <v>477242</v>
      </c>
      <c r="T474">
        <v>3316527</v>
      </c>
    </row>
    <row r="475" spans="1:21" x14ac:dyDescent="0.3">
      <c r="A475" s="1">
        <v>45687</v>
      </c>
      <c r="B475">
        <v>56</v>
      </c>
      <c r="C475">
        <v>1695.7233284435399</v>
      </c>
      <c r="D475">
        <v>2118.2162772530501</v>
      </c>
      <c r="E475">
        <v>22</v>
      </c>
      <c r="F475">
        <v>22</v>
      </c>
      <c r="K475">
        <v>0.47862401300545199</v>
      </c>
      <c r="L475">
        <v>1.53233406011712</v>
      </c>
      <c r="M475">
        <v>0.25011158278656997</v>
      </c>
      <c r="N475">
        <v>3288</v>
      </c>
      <c r="R475">
        <v>864358</v>
      </c>
      <c r="T475">
        <v>1406025</v>
      </c>
    </row>
    <row r="476" spans="1:21" x14ac:dyDescent="0.3">
      <c r="A476" s="1">
        <v>45688</v>
      </c>
      <c r="B476">
        <v>69</v>
      </c>
      <c r="C476">
        <v>1791.9125620760501</v>
      </c>
      <c r="D476">
        <v>3409.4798146470598</v>
      </c>
      <c r="E476">
        <v>11</v>
      </c>
      <c r="F476">
        <v>11</v>
      </c>
      <c r="K476">
        <v>0.51511268687529599</v>
      </c>
      <c r="L476">
        <v>1.57917902729352</v>
      </c>
      <c r="M476">
        <v>0.25011158278656997</v>
      </c>
      <c r="N476">
        <v>5295</v>
      </c>
      <c r="T476">
        <v>3263548</v>
      </c>
      <c r="U476">
        <v>345819</v>
      </c>
    </row>
    <row r="477" spans="1:21" x14ac:dyDescent="0.3">
      <c r="A477" s="1">
        <v>45689</v>
      </c>
      <c r="B477">
        <v>98</v>
      </c>
      <c r="C477">
        <v>1893.6369908294801</v>
      </c>
      <c r="D477">
        <v>4261.21477816072</v>
      </c>
      <c r="E477">
        <v>37</v>
      </c>
      <c r="F477">
        <v>37</v>
      </c>
      <c r="K477">
        <v>0.49946220791505702</v>
      </c>
      <c r="L477">
        <v>1.6257037141482</v>
      </c>
      <c r="M477">
        <v>0.25011158278656997</v>
      </c>
      <c r="N477">
        <v>6632</v>
      </c>
      <c r="R477">
        <v>1181264</v>
      </c>
      <c r="T477">
        <v>4615975</v>
      </c>
    </row>
    <row r="478" spans="1:21" x14ac:dyDescent="0.3">
      <c r="A478" s="1">
        <v>45690</v>
      </c>
      <c r="B478">
        <v>107</v>
      </c>
      <c r="C478">
        <v>1886.59672756332</v>
      </c>
      <c r="D478">
        <v>4695.5773219612602</v>
      </c>
      <c r="E478">
        <v>57</v>
      </c>
      <c r="F478">
        <v>57</v>
      </c>
      <c r="K478">
        <v>0.430942487405097</v>
      </c>
      <c r="L478">
        <v>1.4605264980264201</v>
      </c>
      <c r="M478">
        <v>0.25011158278656997</v>
      </c>
      <c r="N478">
        <v>7011</v>
      </c>
      <c r="R478">
        <v>1566203</v>
      </c>
      <c r="T478">
        <v>4077944</v>
      </c>
    </row>
    <row r="479" spans="1:21" x14ac:dyDescent="0.3">
      <c r="A479" s="1">
        <v>45691</v>
      </c>
      <c r="B479">
        <v>122</v>
      </c>
      <c r="C479">
        <v>1892.5325493067</v>
      </c>
      <c r="D479">
        <v>5883.9154107698896</v>
      </c>
      <c r="E479">
        <v>62</v>
      </c>
      <c r="F479">
        <v>62</v>
      </c>
      <c r="K479">
        <v>0.50545155157918498</v>
      </c>
      <c r="L479">
        <v>1.6029269244745701</v>
      </c>
      <c r="M479">
        <v>0.28273483271525301</v>
      </c>
      <c r="N479">
        <v>8666</v>
      </c>
      <c r="R479">
        <v>1251280</v>
      </c>
      <c r="T479">
        <v>4521266</v>
      </c>
    </row>
    <row r="480" spans="1:21" x14ac:dyDescent="0.3">
      <c r="A480" s="1">
        <v>45692</v>
      </c>
      <c r="B480">
        <v>92</v>
      </c>
      <c r="C480">
        <v>1839.99122962255</v>
      </c>
      <c r="D480">
        <v>4464.36305109364</v>
      </c>
      <c r="E480">
        <v>40</v>
      </c>
      <c r="F480">
        <v>40</v>
      </c>
      <c r="K480">
        <v>0.538721908586409</v>
      </c>
      <c r="L480">
        <v>2.3252383383395099</v>
      </c>
      <c r="M480">
        <v>0.235333941323212</v>
      </c>
      <c r="N480">
        <v>6769</v>
      </c>
      <c r="R480">
        <v>903194</v>
      </c>
      <c r="T480">
        <v>3951466</v>
      </c>
    </row>
    <row r="481" spans="1:21" x14ac:dyDescent="0.3">
      <c r="A481" s="1">
        <v>45693</v>
      </c>
      <c r="B481">
        <v>99</v>
      </c>
      <c r="C481">
        <v>1781.9148662534801</v>
      </c>
      <c r="D481">
        <v>3386.81919435499</v>
      </c>
      <c r="E481">
        <v>22</v>
      </c>
      <c r="F481">
        <v>22</v>
      </c>
      <c r="K481">
        <v>0.43290890089002398</v>
      </c>
      <c r="L481">
        <v>1.4648236666544701</v>
      </c>
      <c r="M481">
        <v>0.25011158278656997</v>
      </c>
      <c r="N481">
        <v>5158</v>
      </c>
      <c r="R481">
        <v>910138</v>
      </c>
      <c r="T481">
        <v>2768479</v>
      </c>
      <c r="U481">
        <v>58576</v>
      </c>
    </row>
    <row r="482" spans="1:21" x14ac:dyDescent="0.3">
      <c r="A482" s="1">
        <v>45694</v>
      </c>
      <c r="B482">
        <v>116</v>
      </c>
      <c r="C482">
        <v>1916.58961886938</v>
      </c>
      <c r="D482">
        <v>4702.1287530515801</v>
      </c>
      <c r="E482">
        <v>35</v>
      </c>
      <c r="F482">
        <v>35</v>
      </c>
      <c r="K482">
        <v>0.63760945371366595</v>
      </c>
      <c r="L482">
        <v>1.5118998465386799</v>
      </c>
      <c r="M482">
        <v>0.26751243357154197</v>
      </c>
      <c r="N482">
        <v>7237</v>
      </c>
      <c r="R482">
        <v>1070181</v>
      </c>
      <c r="T482">
        <v>5146384</v>
      </c>
    </row>
    <row r="483" spans="1:21" x14ac:dyDescent="0.3">
      <c r="A483" s="1">
        <v>45695</v>
      </c>
      <c r="B483">
        <v>74</v>
      </c>
      <c r="C483">
        <v>1790.1664991273699</v>
      </c>
      <c r="D483">
        <v>2237.63382770623</v>
      </c>
      <c r="E483">
        <v>43</v>
      </c>
      <c r="F483">
        <v>43</v>
      </c>
      <c r="K483">
        <v>0.53085205167987803</v>
      </c>
      <c r="L483">
        <v>1.63474029155917</v>
      </c>
      <c r="M483">
        <v>0.28273483271525301</v>
      </c>
      <c r="N483">
        <v>3403</v>
      </c>
      <c r="R483">
        <v>1854641</v>
      </c>
      <c r="T483">
        <v>2040223</v>
      </c>
    </row>
    <row r="484" spans="1:21" x14ac:dyDescent="0.3">
      <c r="A484" s="1">
        <v>45696</v>
      </c>
      <c r="B484">
        <v>133</v>
      </c>
      <c r="C484">
        <v>1898.1138188042801</v>
      </c>
      <c r="D484">
        <v>5164.5210043680199</v>
      </c>
      <c r="E484">
        <v>42</v>
      </c>
      <c r="F484">
        <v>42</v>
      </c>
      <c r="K484">
        <v>0.41008139365872198</v>
      </c>
      <c r="L484">
        <v>1.47172361567525</v>
      </c>
      <c r="M484">
        <v>0.24674900910681899</v>
      </c>
      <c r="N484">
        <v>8017</v>
      </c>
      <c r="R484">
        <v>1629632</v>
      </c>
      <c r="T484">
        <v>4216618</v>
      </c>
    </row>
    <row r="485" spans="1:21" x14ac:dyDescent="0.3">
      <c r="A485" s="1">
        <v>45697</v>
      </c>
      <c r="B485">
        <v>41</v>
      </c>
      <c r="C485">
        <v>1702.4322595721601</v>
      </c>
      <c r="D485">
        <v>1848.44588007787</v>
      </c>
      <c r="E485">
        <v>3</v>
      </c>
      <c r="F485">
        <v>3</v>
      </c>
      <c r="K485">
        <v>0.75751222752832803</v>
      </c>
      <c r="L485">
        <v>1.28683253627714</v>
      </c>
      <c r="M485">
        <v>0.32623246768636599</v>
      </c>
      <c r="N485">
        <v>2903</v>
      </c>
      <c r="T485">
        <v>2450963</v>
      </c>
    </row>
    <row r="486" spans="1:21" x14ac:dyDescent="0.3">
      <c r="A486" s="1">
        <v>45698</v>
      </c>
      <c r="B486">
        <v>187</v>
      </c>
      <c r="C486">
        <v>2150.4490031371402</v>
      </c>
      <c r="D486">
        <v>10092.8894757774</v>
      </c>
      <c r="E486">
        <v>55</v>
      </c>
      <c r="F486">
        <v>55</v>
      </c>
      <c r="K486">
        <v>0.49153514914556401</v>
      </c>
      <c r="L486">
        <v>1.6414175160343301</v>
      </c>
      <c r="M486">
        <v>0.25050819149582898</v>
      </c>
      <c r="N486">
        <v>15103</v>
      </c>
      <c r="R486">
        <v>605042</v>
      </c>
      <c r="T486">
        <v>9837487</v>
      </c>
    </row>
    <row r="487" spans="1:21" x14ac:dyDescent="0.3">
      <c r="A487" s="1">
        <v>45699</v>
      </c>
      <c r="B487">
        <v>135</v>
      </c>
      <c r="C487">
        <v>1915.87143434258</v>
      </c>
      <c r="D487">
        <v>7332.8134708396501</v>
      </c>
      <c r="E487">
        <v>41</v>
      </c>
      <c r="F487">
        <v>41</v>
      </c>
      <c r="K487">
        <v>0.51262301743572303</v>
      </c>
      <c r="L487">
        <v>1.72490259889717</v>
      </c>
      <c r="M487">
        <v>0.25011158278656997</v>
      </c>
      <c r="N487">
        <v>11096</v>
      </c>
      <c r="T487">
        <v>6277723</v>
      </c>
    </row>
    <row r="488" spans="1:21" x14ac:dyDescent="0.3">
      <c r="A488" s="1">
        <v>45700</v>
      </c>
      <c r="B488">
        <v>91</v>
      </c>
      <c r="C488">
        <v>1836.0006180186299</v>
      </c>
      <c r="D488">
        <v>3401.59998514886</v>
      </c>
      <c r="E488">
        <v>42</v>
      </c>
      <c r="F488">
        <v>42</v>
      </c>
      <c r="K488">
        <v>0.40226445495770102</v>
      </c>
      <c r="L488">
        <v>1.64612482087347</v>
      </c>
      <c r="M488">
        <v>0.25011158278656997</v>
      </c>
      <c r="N488">
        <v>5379</v>
      </c>
      <c r="R488">
        <v>1829280</v>
      </c>
      <c r="T488">
        <v>2889241</v>
      </c>
    </row>
    <row r="489" spans="1:21" x14ac:dyDescent="0.3">
      <c r="A489" s="1">
        <v>45701</v>
      </c>
      <c r="B489">
        <v>144</v>
      </c>
      <c r="C489">
        <v>1906.8748580721699</v>
      </c>
      <c r="D489">
        <v>7097.7389817735802</v>
      </c>
      <c r="E489">
        <v>45</v>
      </c>
      <c r="F489">
        <v>45</v>
      </c>
      <c r="K489">
        <v>0.46097801872091798</v>
      </c>
      <c r="L489">
        <v>1.4571336658940099</v>
      </c>
      <c r="M489">
        <v>0.25011158278656997</v>
      </c>
      <c r="N489">
        <v>10484</v>
      </c>
      <c r="R489">
        <v>545057</v>
      </c>
      <c r="T489">
        <v>5533926</v>
      </c>
    </row>
    <row r="490" spans="1:21" x14ac:dyDescent="0.3">
      <c r="A490" s="1">
        <v>45702</v>
      </c>
      <c r="B490">
        <v>120</v>
      </c>
      <c r="C490">
        <v>1847.70148076339</v>
      </c>
      <c r="D490">
        <v>5207.8332348146196</v>
      </c>
      <c r="E490">
        <v>32</v>
      </c>
      <c r="F490">
        <v>32</v>
      </c>
      <c r="K490">
        <v>0.49815537909380297</v>
      </c>
      <c r="L490">
        <v>1.87946530113576</v>
      </c>
      <c r="M490">
        <v>0.253150285122338</v>
      </c>
      <c r="N490">
        <v>7990</v>
      </c>
      <c r="R490">
        <v>816469</v>
      </c>
      <c r="T490">
        <v>4182498</v>
      </c>
    </row>
    <row r="491" spans="1:21" x14ac:dyDescent="0.3">
      <c r="A491" s="1">
        <v>45703</v>
      </c>
      <c r="B491">
        <v>142</v>
      </c>
      <c r="C491">
        <v>2032.8105199823799</v>
      </c>
      <c r="D491">
        <v>5831.3552398956799</v>
      </c>
      <c r="E491">
        <v>63</v>
      </c>
      <c r="F491">
        <v>63</v>
      </c>
      <c r="K491">
        <v>0.43130387999576603</v>
      </c>
      <c r="L491">
        <v>1.4494789045470799</v>
      </c>
      <c r="M491">
        <v>0.26196219329812498</v>
      </c>
      <c r="N491">
        <v>8719</v>
      </c>
      <c r="R491">
        <v>2401837</v>
      </c>
      <c r="T491">
        <v>5805917</v>
      </c>
    </row>
    <row r="492" spans="1:21" x14ac:dyDescent="0.3">
      <c r="A492" s="1">
        <v>45704</v>
      </c>
      <c r="B492">
        <v>53</v>
      </c>
      <c r="C492">
        <v>1726.2278784448199</v>
      </c>
      <c r="D492">
        <v>531.299510508916</v>
      </c>
      <c r="E492">
        <v>42</v>
      </c>
      <c r="F492">
        <v>42</v>
      </c>
      <c r="K492">
        <v>0.38942358197900501</v>
      </c>
      <c r="L492">
        <v>1.3989754605875699</v>
      </c>
      <c r="M492">
        <v>0.26937152008825199</v>
      </c>
      <c r="N492">
        <v>1001</v>
      </c>
      <c r="R492">
        <v>2598561</v>
      </c>
      <c r="T492">
        <v>97890</v>
      </c>
    </row>
    <row r="493" spans="1:21" x14ac:dyDescent="0.3">
      <c r="A493" s="1">
        <v>45705</v>
      </c>
      <c r="B493">
        <v>92</v>
      </c>
      <c r="C493">
        <v>1780.8865787002401</v>
      </c>
      <c r="D493">
        <v>4303.4179976473297</v>
      </c>
      <c r="E493">
        <v>33</v>
      </c>
      <c r="F493">
        <v>33</v>
      </c>
      <c r="K493">
        <v>0.50963774235914805</v>
      </c>
      <c r="L493">
        <v>1.5210927133062699</v>
      </c>
      <c r="M493">
        <v>0.26098599942946399</v>
      </c>
      <c r="N493">
        <v>6629</v>
      </c>
      <c r="R493">
        <v>693299</v>
      </c>
      <c r="T493">
        <v>3116143</v>
      </c>
    </row>
    <row r="494" spans="1:21" x14ac:dyDescent="0.3">
      <c r="A494" s="1">
        <v>45706</v>
      </c>
      <c r="B494">
        <v>87</v>
      </c>
      <c r="C494">
        <v>1813.6923360143401</v>
      </c>
      <c r="D494">
        <v>3470.1074740240701</v>
      </c>
      <c r="E494">
        <v>38</v>
      </c>
      <c r="F494">
        <v>38</v>
      </c>
      <c r="K494">
        <v>0.47575176914015799</v>
      </c>
      <c r="L494">
        <v>1.6910115317459</v>
      </c>
      <c r="M494">
        <v>0.25011158278656997</v>
      </c>
      <c r="N494">
        <v>5127</v>
      </c>
      <c r="R494">
        <v>1307605</v>
      </c>
      <c r="T494">
        <v>3047267</v>
      </c>
    </row>
    <row r="495" spans="1:21" x14ac:dyDescent="0.3">
      <c r="A495" s="1">
        <v>45707</v>
      </c>
      <c r="B495">
        <v>146</v>
      </c>
      <c r="C495">
        <v>2040.7385545796501</v>
      </c>
      <c r="D495">
        <v>6232.1129770787402</v>
      </c>
      <c r="E495">
        <v>38</v>
      </c>
      <c r="F495">
        <v>38</v>
      </c>
      <c r="K495">
        <v>0.65537511688867101</v>
      </c>
      <c r="L495">
        <v>1.71438669024751</v>
      </c>
      <c r="M495">
        <v>0.25011158278656997</v>
      </c>
      <c r="N495">
        <v>9505</v>
      </c>
      <c r="R495">
        <v>1036384</v>
      </c>
      <c r="T495">
        <v>6732392</v>
      </c>
      <c r="U495">
        <v>295343</v>
      </c>
    </row>
    <row r="496" spans="1:21" x14ac:dyDescent="0.3">
      <c r="A496" s="1">
        <v>45708</v>
      </c>
      <c r="B496">
        <v>145</v>
      </c>
      <c r="C496">
        <v>1939.58752155401</v>
      </c>
      <c r="D496">
        <v>4725.4825349089097</v>
      </c>
      <c r="E496">
        <v>45</v>
      </c>
      <c r="F496">
        <v>45</v>
      </c>
      <c r="K496">
        <v>0.43094562117144097</v>
      </c>
      <c r="L496">
        <v>1.49745815090997</v>
      </c>
      <c r="M496">
        <v>0.25011158278656997</v>
      </c>
      <c r="N496">
        <v>7312</v>
      </c>
      <c r="R496">
        <v>1931562</v>
      </c>
      <c r="T496">
        <v>4637332</v>
      </c>
    </row>
    <row r="497" spans="1:25" x14ac:dyDescent="0.3">
      <c r="A497" s="1">
        <v>45709</v>
      </c>
      <c r="B497">
        <v>126</v>
      </c>
      <c r="C497">
        <v>1853.3210455596</v>
      </c>
      <c r="D497">
        <v>6899.5637156405701</v>
      </c>
      <c r="E497">
        <v>63</v>
      </c>
      <c r="F497">
        <v>54</v>
      </c>
      <c r="K497">
        <v>0.55199089066701601</v>
      </c>
      <c r="L497">
        <v>2.4925595206403401</v>
      </c>
      <c r="M497">
        <v>0.25011158278656997</v>
      </c>
      <c r="N497">
        <v>9815</v>
      </c>
      <c r="R497">
        <v>771488</v>
      </c>
      <c r="T497">
        <v>4321974</v>
      </c>
    </row>
    <row r="498" spans="1:25" x14ac:dyDescent="0.3">
      <c r="A498" s="1">
        <v>45710</v>
      </c>
      <c r="B498">
        <v>122</v>
      </c>
      <c r="C498">
        <v>1929.3426527602701</v>
      </c>
      <c r="D498">
        <v>4975.30856569152</v>
      </c>
      <c r="E498">
        <v>51</v>
      </c>
      <c r="F498">
        <v>51</v>
      </c>
      <c r="K498">
        <v>0.41380582843104202</v>
      </c>
      <c r="L498">
        <v>1.52735228818911</v>
      </c>
      <c r="M498">
        <v>0.26098599942946399</v>
      </c>
      <c r="N498">
        <v>7427</v>
      </c>
      <c r="R498">
        <v>1826785</v>
      </c>
      <c r="T498">
        <v>4565703</v>
      </c>
    </row>
    <row r="499" spans="1:25" x14ac:dyDescent="0.3">
      <c r="A499" s="1">
        <v>45711</v>
      </c>
      <c r="B499">
        <v>80</v>
      </c>
      <c r="C499">
        <v>1810.3418276077</v>
      </c>
      <c r="D499">
        <v>4268.0780805354698</v>
      </c>
      <c r="E499">
        <v>16</v>
      </c>
      <c r="F499">
        <v>16</v>
      </c>
      <c r="K499">
        <v>0.47756710487009302</v>
      </c>
      <c r="L499">
        <v>1.8631911560851799</v>
      </c>
      <c r="M499">
        <v>0.263601757384126</v>
      </c>
      <c r="N499">
        <v>6408</v>
      </c>
      <c r="T499">
        <v>4385978</v>
      </c>
    </row>
    <row r="500" spans="1:25" x14ac:dyDescent="0.3">
      <c r="A500" s="1">
        <v>45712</v>
      </c>
      <c r="B500">
        <v>113</v>
      </c>
      <c r="C500">
        <v>1892.46498484723</v>
      </c>
      <c r="D500">
        <v>6684.2455287179</v>
      </c>
      <c r="E500">
        <v>49</v>
      </c>
      <c r="F500">
        <v>49</v>
      </c>
      <c r="K500">
        <v>0.58761158290238502</v>
      </c>
      <c r="L500">
        <v>1.7782588730347699</v>
      </c>
      <c r="M500">
        <v>0.24676718833067099</v>
      </c>
      <c r="N500">
        <v>9844</v>
      </c>
      <c r="T500">
        <v>5858595</v>
      </c>
    </row>
    <row r="501" spans="1:25" x14ac:dyDescent="0.3">
      <c r="A501" s="1">
        <v>45713</v>
      </c>
      <c r="B501">
        <v>94</v>
      </c>
      <c r="C501">
        <v>1854.88993641704</v>
      </c>
      <c r="D501">
        <v>5227.2766926131499</v>
      </c>
      <c r="E501">
        <v>30</v>
      </c>
      <c r="F501">
        <v>30</v>
      </c>
      <c r="K501">
        <v>0.46230243994477299</v>
      </c>
      <c r="L501">
        <v>1.4853723305908499</v>
      </c>
      <c r="M501">
        <v>0.24598092915907099</v>
      </c>
      <c r="N501">
        <v>7748</v>
      </c>
      <c r="T501">
        <v>4790883</v>
      </c>
      <c r="U501">
        <v>172012</v>
      </c>
    </row>
    <row r="502" spans="1:25" x14ac:dyDescent="0.3">
      <c r="A502" s="1">
        <v>45714</v>
      </c>
      <c r="B502">
        <v>131</v>
      </c>
      <c r="C502">
        <v>1966.20389389141</v>
      </c>
      <c r="D502">
        <v>6504.3877930888002</v>
      </c>
      <c r="E502">
        <v>44</v>
      </c>
      <c r="F502">
        <v>44</v>
      </c>
      <c r="K502">
        <v>0.44626574942076602</v>
      </c>
      <c r="L502">
        <v>1.6036468918612801</v>
      </c>
      <c r="M502">
        <v>0.25011158278656997</v>
      </c>
      <c r="N502">
        <v>9634</v>
      </c>
      <c r="R502">
        <v>619622</v>
      </c>
      <c r="T502">
        <v>6516878</v>
      </c>
    </row>
    <row r="503" spans="1:25" x14ac:dyDescent="0.3">
      <c r="A503" s="1">
        <v>45715</v>
      </c>
      <c r="B503">
        <v>84</v>
      </c>
      <c r="C503">
        <v>1835.7205276042901</v>
      </c>
      <c r="D503">
        <v>2940.2186995684501</v>
      </c>
      <c r="E503">
        <v>41</v>
      </c>
      <c r="F503">
        <v>41</v>
      </c>
      <c r="K503">
        <v>0.561824382749466</v>
      </c>
      <c r="L503">
        <v>1.4941015790110099</v>
      </c>
      <c r="M503">
        <v>0.25011158278656997</v>
      </c>
      <c r="N503">
        <v>4337</v>
      </c>
      <c r="R503">
        <v>1770331</v>
      </c>
      <c r="T503">
        <v>2753497</v>
      </c>
      <c r="U503">
        <v>84617</v>
      </c>
    </row>
    <row r="504" spans="1:25" x14ac:dyDescent="0.3">
      <c r="A504" s="1">
        <v>45716</v>
      </c>
      <c r="B504">
        <v>87</v>
      </c>
      <c r="C504">
        <v>1839.6380612621799</v>
      </c>
      <c r="D504">
        <v>3716.7044582107601</v>
      </c>
      <c r="E504">
        <v>33</v>
      </c>
      <c r="F504">
        <v>33</v>
      </c>
      <c r="K504">
        <v>0.610330786640088</v>
      </c>
      <c r="L504">
        <v>1.84196414398794</v>
      </c>
      <c r="M504">
        <v>0.28470200625352698</v>
      </c>
      <c r="N504">
        <v>5605</v>
      </c>
      <c r="R504">
        <v>908465</v>
      </c>
      <c r="T504">
        <v>3939432</v>
      </c>
    </row>
    <row r="505" spans="1:25" x14ac:dyDescent="0.3">
      <c r="A505" s="1">
        <v>45717</v>
      </c>
      <c r="B505">
        <v>206</v>
      </c>
      <c r="C505">
        <v>2179.3333779560498</v>
      </c>
      <c r="D505">
        <v>10583.004056523199</v>
      </c>
      <c r="E505">
        <v>58</v>
      </c>
      <c r="F505">
        <v>58</v>
      </c>
      <c r="K505">
        <v>0.58750838274450801</v>
      </c>
      <c r="L505">
        <v>1.5719233332818701</v>
      </c>
      <c r="M505">
        <v>0.25011158278656997</v>
      </c>
      <c r="N505">
        <v>15414</v>
      </c>
      <c r="T505">
        <v>11002669</v>
      </c>
    </row>
    <row r="506" spans="1:25" x14ac:dyDescent="0.3">
      <c r="A506" s="1">
        <v>45718</v>
      </c>
      <c r="B506">
        <v>69</v>
      </c>
      <c r="C506">
        <v>1733.91076037997</v>
      </c>
      <c r="D506">
        <v>3842.1474420724198</v>
      </c>
      <c r="E506">
        <v>24</v>
      </c>
      <c r="F506">
        <v>24</v>
      </c>
      <c r="K506">
        <v>0.64305887997952405</v>
      </c>
      <c r="L506">
        <v>1.3785562778315299</v>
      </c>
      <c r="M506">
        <v>0.26098599942946399</v>
      </c>
      <c r="N506">
        <v>5805</v>
      </c>
      <c r="T506">
        <v>3015430</v>
      </c>
    </row>
    <row r="507" spans="1:25" x14ac:dyDescent="0.3">
      <c r="A507" s="1">
        <v>45719</v>
      </c>
      <c r="B507">
        <v>172</v>
      </c>
      <c r="C507">
        <v>1961.4526883563999</v>
      </c>
      <c r="D507">
        <v>7735.8210296744501</v>
      </c>
      <c r="E507">
        <v>43</v>
      </c>
      <c r="F507">
        <v>43</v>
      </c>
      <c r="K507">
        <v>0.475266732777888</v>
      </c>
      <c r="L507">
        <v>1.52709652508998</v>
      </c>
      <c r="M507">
        <v>0.25011158278656997</v>
      </c>
      <c r="N507">
        <v>11546</v>
      </c>
      <c r="R507">
        <v>970804</v>
      </c>
      <c r="T507">
        <v>6057167</v>
      </c>
    </row>
    <row r="508" spans="1:25" x14ac:dyDescent="0.3">
      <c r="A508" s="1">
        <v>45720</v>
      </c>
      <c r="B508">
        <v>115</v>
      </c>
      <c r="C508">
        <v>1949.3886603107401</v>
      </c>
      <c r="D508">
        <v>4650.5813388848201</v>
      </c>
      <c r="E508">
        <v>49</v>
      </c>
      <c r="F508">
        <v>49</v>
      </c>
      <c r="K508">
        <v>0.51482796356356997</v>
      </c>
      <c r="L508">
        <v>1.67516462496509</v>
      </c>
      <c r="M508">
        <v>0.25011158278656997</v>
      </c>
      <c r="N508">
        <v>6996</v>
      </c>
      <c r="R508">
        <v>1723800</v>
      </c>
      <c r="T508">
        <v>5035332</v>
      </c>
    </row>
    <row r="509" spans="1:25" x14ac:dyDescent="0.3">
      <c r="A509" s="1">
        <v>45721</v>
      </c>
      <c r="B509">
        <v>143</v>
      </c>
      <c r="C509">
        <v>2110.08934560647</v>
      </c>
      <c r="D509">
        <v>6494.3079545130004</v>
      </c>
      <c r="E509">
        <v>62</v>
      </c>
      <c r="F509">
        <v>62</v>
      </c>
      <c r="K509">
        <v>0.747104947728229</v>
      </c>
      <c r="L509">
        <v>1.7016063025306201</v>
      </c>
      <c r="M509">
        <v>0.273954253689284</v>
      </c>
      <c r="N509">
        <v>9599</v>
      </c>
      <c r="O509">
        <v>65.819999694824205</v>
      </c>
      <c r="P509">
        <v>65.819999694824205</v>
      </c>
      <c r="Q509">
        <v>65.819999694824205</v>
      </c>
      <c r="R509">
        <v>1733947</v>
      </c>
      <c r="S509">
        <v>9356</v>
      </c>
      <c r="T509">
        <v>7111981</v>
      </c>
      <c r="X509">
        <v>4417</v>
      </c>
      <c r="Y509">
        <v>338827</v>
      </c>
    </row>
    <row r="510" spans="1:25" x14ac:dyDescent="0.3">
      <c r="A510" s="1">
        <v>45722</v>
      </c>
      <c r="B510">
        <v>137</v>
      </c>
      <c r="C510">
        <v>2101.9643178460901</v>
      </c>
      <c r="D510">
        <v>9466.9283046649507</v>
      </c>
      <c r="E510">
        <v>61</v>
      </c>
      <c r="F510">
        <v>61</v>
      </c>
      <c r="G510">
        <v>31.249027252197202</v>
      </c>
      <c r="H510">
        <v>75.694633483886705</v>
      </c>
      <c r="I510">
        <v>31.2624607086181</v>
      </c>
      <c r="J510">
        <v>75.707183837890597</v>
      </c>
      <c r="K510">
        <v>0.77903504361809395</v>
      </c>
      <c r="L510">
        <v>6.2106352225049397</v>
      </c>
      <c r="M510">
        <v>1.16114053097633E-2</v>
      </c>
      <c r="N510">
        <v>7224</v>
      </c>
      <c r="R510">
        <v>2205287</v>
      </c>
      <c r="S510">
        <v>4923</v>
      </c>
      <c r="T510">
        <v>5505835</v>
      </c>
      <c r="Y510">
        <v>1103742</v>
      </c>
    </row>
    <row r="511" spans="1:25" x14ac:dyDescent="0.3">
      <c r="A511" s="1">
        <v>45723</v>
      </c>
      <c r="B511">
        <v>192</v>
      </c>
      <c r="C511">
        <v>2384.6021041388899</v>
      </c>
      <c r="D511">
        <v>8975.0751984745293</v>
      </c>
      <c r="E511">
        <v>58</v>
      </c>
      <c r="F511">
        <v>57</v>
      </c>
      <c r="G511">
        <v>31.249809265136701</v>
      </c>
      <c r="H511">
        <v>75.697166442871094</v>
      </c>
      <c r="I511">
        <v>31.262344360351499</v>
      </c>
      <c r="J511">
        <v>75.707984924316406</v>
      </c>
      <c r="K511">
        <v>0.78908144551497095</v>
      </c>
      <c r="L511">
        <v>4.4437231282940903</v>
      </c>
      <c r="M511">
        <v>2.15088601235539E-3</v>
      </c>
      <c r="N511">
        <v>13201</v>
      </c>
      <c r="S511">
        <v>1154</v>
      </c>
      <c r="T511">
        <v>12670151</v>
      </c>
      <c r="Y511">
        <v>2522502</v>
      </c>
    </row>
    <row r="512" spans="1:25" x14ac:dyDescent="0.3">
      <c r="A512" s="1">
        <v>45724</v>
      </c>
      <c r="B512">
        <v>49</v>
      </c>
      <c r="C512">
        <v>1672.8463340738899</v>
      </c>
      <c r="D512">
        <v>1600.7160757192401</v>
      </c>
      <c r="E512">
        <v>7</v>
      </c>
      <c r="F512">
        <v>7</v>
      </c>
      <c r="G512">
        <v>31.253826141357401</v>
      </c>
      <c r="H512">
        <v>75.693374633789006</v>
      </c>
      <c r="I512">
        <v>31.254478454589801</v>
      </c>
      <c r="J512">
        <v>75.69482421875</v>
      </c>
      <c r="K512">
        <v>0.495531498462491</v>
      </c>
      <c r="L512">
        <v>1.6593182141105101</v>
      </c>
      <c r="M512">
        <v>0.25153756144225897</v>
      </c>
      <c r="N512">
        <v>3215</v>
      </c>
      <c r="T512">
        <v>1812786</v>
      </c>
      <c r="Y512">
        <v>583519</v>
      </c>
    </row>
    <row r="513" spans="1:25" x14ac:dyDescent="0.3">
      <c r="A513" s="1">
        <v>45725</v>
      </c>
      <c r="B513">
        <v>53</v>
      </c>
      <c r="C513">
        <v>1702.38751893474</v>
      </c>
      <c r="D513">
        <v>619.77944386386298</v>
      </c>
      <c r="K513">
        <v>0.34336482459513901</v>
      </c>
      <c r="L513">
        <v>1.3382105203624399</v>
      </c>
      <c r="M513">
        <v>0.30336224418541902</v>
      </c>
      <c r="N513">
        <v>1119</v>
      </c>
      <c r="T513">
        <v>956904</v>
      </c>
      <c r="Y513">
        <v>2168417</v>
      </c>
    </row>
    <row r="514" spans="1:25" x14ac:dyDescent="0.3">
      <c r="A514" s="1">
        <v>45726</v>
      </c>
      <c r="B514">
        <v>38</v>
      </c>
      <c r="C514">
        <v>1610.5279187743399</v>
      </c>
      <c r="D514">
        <v>1480.55685911317</v>
      </c>
      <c r="E514">
        <v>6</v>
      </c>
      <c r="F514">
        <v>6</v>
      </c>
      <c r="G514">
        <v>31.249393463134702</v>
      </c>
      <c r="H514">
        <v>75.697319030761705</v>
      </c>
      <c r="I514">
        <v>31.253910064697202</v>
      </c>
      <c r="J514">
        <v>75.699424743652301</v>
      </c>
      <c r="K514">
        <v>0.42285803138027001</v>
      </c>
      <c r="L514">
        <v>3.67613520154101</v>
      </c>
      <c r="M514">
        <v>0.31382299114162399</v>
      </c>
      <c r="N514">
        <v>2300</v>
      </c>
      <c r="T514">
        <v>590782</v>
      </c>
      <c r="Y514">
        <v>423172</v>
      </c>
    </row>
    <row r="515" spans="1:25" x14ac:dyDescent="0.3">
      <c r="A515" s="1">
        <v>45727</v>
      </c>
      <c r="B515">
        <v>149</v>
      </c>
      <c r="C515">
        <v>2167.16823974409</v>
      </c>
      <c r="D515">
        <v>7362.1256563138004</v>
      </c>
      <c r="E515">
        <v>53</v>
      </c>
      <c r="F515">
        <v>53</v>
      </c>
      <c r="G515">
        <v>31.221578598022401</v>
      </c>
      <c r="H515">
        <v>75.694755554199205</v>
      </c>
      <c r="I515">
        <v>31.264938354492099</v>
      </c>
      <c r="J515">
        <v>75.766799926757798</v>
      </c>
      <c r="K515">
        <v>0.57729007896509998</v>
      </c>
      <c r="L515">
        <v>3.6770358388355802</v>
      </c>
      <c r="M515">
        <v>8.3533874131820104E-2</v>
      </c>
      <c r="N515">
        <v>8764</v>
      </c>
      <c r="R515">
        <v>1400760</v>
      </c>
      <c r="T515">
        <v>5076156</v>
      </c>
      <c r="Y515">
        <v>1501984</v>
      </c>
    </row>
    <row r="516" spans="1:25" x14ac:dyDescent="0.3">
      <c r="A516" s="1">
        <v>45728</v>
      </c>
      <c r="B516">
        <v>164</v>
      </c>
      <c r="C516">
        <v>2195.8084224098998</v>
      </c>
      <c r="D516">
        <v>6796.4483676048003</v>
      </c>
      <c r="E516">
        <v>54</v>
      </c>
      <c r="F516">
        <v>54</v>
      </c>
      <c r="G516">
        <v>31.2486457824707</v>
      </c>
      <c r="H516">
        <v>75.698867797851506</v>
      </c>
      <c r="I516">
        <v>31.2620944976806</v>
      </c>
      <c r="J516">
        <v>75.707710266113196</v>
      </c>
      <c r="K516">
        <v>0.493727460581452</v>
      </c>
      <c r="L516">
        <v>1.5435128130085001</v>
      </c>
      <c r="M516">
        <v>0.15127500104312799</v>
      </c>
      <c r="N516">
        <v>11517</v>
      </c>
      <c r="T516">
        <v>7256678</v>
      </c>
      <c r="Y516">
        <v>1921119</v>
      </c>
    </row>
    <row r="517" spans="1:25" x14ac:dyDescent="0.3">
      <c r="A517" s="1">
        <v>45729</v>
      </c>
      <c r="B517">
        <v>180</v>
      </c>
      <c r="C517">
        <v>1941.1256900441299</v>
      </c>
      <c r="D517">
        <v>10058.6882784307</v>
      </c>
      <c r="E517">
        <v>81</v>
      </c>
      <c r="F517">
        <v>81</v>
      </c>
      <c r="G517">
        <v>31.249090194702099</v>
      </c>
      <c r="H517">
        <v>75.697525024414006</v>
      </c>
      <c r="I517">
        <v>31.260108947753899</v>
      </c>
      <c r="J517">
        <v>75.708923339843693</v>
      </c>
      <c r="K517">
        <v>0.483977751701823</v>
      </c>
      <c r="L517">
        <v>3.5234343202265199</v>
      </c>
      <c r="M517">
        <v>1.22591477931997E-2</v>
      </c>
      <c r="N517">
        <v>11094</v>
      </c>
      <c r="R517">
        <v>1799596</v>
      </c>
      <c r="T517">
        <v>7134713</v>
      </c>
      <c r="W517">
        <v>1500000</v>
      </c>
    </row>
    <row r="518" spans="1:25" x14ac:dyDescent="0.3">
      <c r="A518" s="1">
        <v>45730</v>
      </c>
      <c r="B518">
        <v>83</v>
      </c>
      <c r="C518">
        <v>1443.7462651190201</v>
      </c>
      <c r="D518">
        <v>992.62825299604106</v>
      </c>
      <c r="K518">
        <v>0.31620488820209702</v>
      </c>
      <c r="L518">
        <v>0.83434215529628497</v>
      </c>
      <c r="M518">
        <v>0.25105840898103698</v>
      </c>
      <c r="N518">
        <v>1927</v>
      </c>
      <c r="T518">
        <v>135343</v>
      </c>
      <c r="W518">
        <v>3900000</v>
      </c>
      <c r="Y518">
        <v>43468</v>
      </c>
    </row>
    <row r="519" spans="1:25" x14ac:dyDescent="0.3">
      <c r="A519" s="1">
        <v>45731</v>
      </c>
      <c r="B519">
        <v>41</v>
      </c>
      <c r="C519">
        <v>1669.44981086955</v>
      </c>
      <c r="D519">
        <v>1803.00843153554</v>
      </c>
      <c r="E519">
        <v>9</v>
      </c>
      <c r="F519">
        <v>9</v>
      </c>
      <c r="G519">
        <v>31.253026962280199</v>
      </c>
      <c r="H519">
        <v>75.694793701171804</v>
      </c>
      <c r="I519">
        <v>31.2541790008544</v>
      </c>
      <c r="J519">
        <v>75.696327209472599</v>
      </c>
      <c r="K519">
        <v>0.66930157000241597</v>
      </c>
      <c r="L519">
        <v>1.45607320945247</v>
      </c>
      <c r="M519">
        <v>9.5318701712609102E-2</v>
      </c>
      <c r="N519">
        <v>3150</v>
      </c>
      <c r="T519">
        <v>2990711</v>
      </c>
      <c r="Y519">
        <v>96398</v>
      </c>
    </row>
    <row r="520" spans="1:25" x14ac:dyDescent="0.3">
      <c r="A520" s="1">
        <v>45732</v>
      </c>
      <c r="B520">
        <v>11</v>
      </c>
      <c r="C520">
        <v>1546.1721726892599</v>
      </c>
      <c r="D520">
        <v>517.14925685887397</v>
      </c>
      <c r="E520">
        <v>2</v>
      </c>
      <c r="F520">
        <v>2</v>
      </c>
      <c r="K520">
        <v>0.43627677182809199</v>
      </c>
      <c r="L520">
        <v>1.74390792892956</v>
      </c>
      <c r="M520">
        <v>0.31382298082787502</v>
      </c>
      <c r="N520">
        <v>1014</v>
      </c>
      <c r="T520">
        <v>1024369</v>
      </c>
    </row>
    <row r="521" spans="1:25" x14ac:dyDescent="0.3">
      <c r="A521" s="1">
        <v>45733</v>
      </c>
      <c r="B521">
        <v>139</v>
      </c>
      <c r="C521">
        <v>1883.1118381839301</v>
      </c>
      <c r="D521">
        <v>7869.13454599339</v>
      </c>
      <c r="E521">
        <v>43</v>
      </c>
      <c r="F521">
        <v>43</v>
      </c>
      <c r="G521">
        <v>31.251295089721602</v>
      </c>
      <c r="H521">
        <v>75.684181213378906</v>
      </c>
      <c r="I521">
        <v>31.274950027465799</v>
      </c>
      <c r="J521">
        <v>75.706703186035099</v>
      </c>
      <c r="K521">
        <v>0.523372224965722</v>
      </c>
      <c r="L521">
        <v>4.4274990092724202</v>
      </c>
      <c r="M521">
        <v>5.8680596462484899E-2</v>
      </c>
      <c r="N521">
        <v>8077</v>
      </c>
      <c r="R521">
        <v>1662161</v>
      </c>
      <c r="T521">
        <v>5700555</v>
      </c>
    </row>
    <row r="522" spans="1:25" x14ac:dyDescent="0.3">
      <c r="A522" s="1">
        <v>45734</v>
      </c>
      <c r="B522">
        <v>60</v>
      </c>
      <c r="C522">
        <v>1650.57800850743</v>
      </c>
      <c r="D522">
        <v>3855.1626887561602</v>
      </c>
      <c r="E522">
        <v>26</v>
      </c>
      <c r="F522">
        <v>26</v>
      </c>
      <c r="G522">
        <v>31.249036788940401</v>
      </c>
      <c r="H522">
        <v>75.697341918945298</v>
      </c>
      <c r="I522">
        <v>31.2599372863769</v>
      </c>
      <c r="J522">
        <v>75.707527160644503</v>
      </c>
      <c r="K522">
        <v>0.44356783366603397</v>
      </c>
      <c r="L522">
        <v>4.1747574127551701</v>
      </c>
      <c r="M522">
        <v>0.25105840898103698</v>
      </c>
      <c r="N522">
        <v>4288</v>
      </c>
      <c r="R522">
        <v>798861</v>
      </c>
      <c r="T522">
        <v>2169659</v>
      </c>
    </row>
    <row r="523" spans="1:25" x14ac:dyDescent="0.3">
      <c r="A523" s="1">
        <v>45735</v>
      </c>
      <c r="B523">
        <v>158</v>
      </c>
      <c r="C523">
        <v>1890.6747993415299</v>
      </c>
      <c r="D523">
        <v>6772.9567162722797</v>
      </c>
      <c r="E523">
        <v>52</v>
      </c>
      <c r="F523">
        <v>52</v>
      </c>
      <c r="G523">
        <v>31.249080657958899</v>
      </c>
      <c r="H523">
        <v>75.694816589355398</v>
      </c>
      <c r="I523">
        <v>31.260236740112301</v>
      </c>
      <c r="J523">
        <v>75.707580566406193</v>
      </c>
      <c r="K523">
        <v>0.45651369380256801</v>
      </c>
      <c r="L523">
        <v>1.46508544771995</v>
      </c>
      <c r="M523">
        <v>8.8814323204893394E-2</v>
      </c>
      <c r="N523">
        <v>11303</v>
      </c>
      <c r="R523">
        <v>1244493</v>
      </c>
      <c r="T523">
        <v>6292359</v>
      </c>
    </row>
    <row r="524" spans="1:25" x14ac:dyDescent="0.3">
      <c r="A524" s="1">
        <v>45736</v>
      </c>
      <c r="B524">
        <v>132</v>
      </c>
      <c r="C524">
        <v>1997.75909548292</v>
      </c>
      <c r="D524">
        <v>5567.8527972955098</v>
      </c>
      <c r="E524">
        <v>47</v>
      </c>
      <c r="F524">
        <v>47</v>
      </c>
      <c r="G524">
        <v>31.249080657958899</v>
      </c>
      <c r="H524">
        <v>75.695755004882798</v>
      </c>
      <c r="I524">
        <v>31.260288238525298</v>
      </c>
      <c r="J524">
        <v>75.707527160644503</v>
      </c>
      <c r="K524">
        <v>0.52479850078928603</v>
      </c>
      <c r="L524">
        <v>3.27196357468473</v>
      </c>
      <c r="M524">
        <v>0.27325638930213397</v>
      </c>
      <c r="N524">
        <v>5157</v>
      </c>
      <c r="R524">
        <v>2515802</v>
      </c>
      <c r="T524">
        <v>4015244</v>
      </c>
      <c r="V524">
        <v>900000</v>
      </c>
      <c r="Y524">
        <v>363744</v>
      </c>
    </row>
    <row r="525" spans="1:25" x14ac:dyDescent="0.3">
      <c r="A525" s="1">
        <v>45737</v>
      </c>
      <c r="B525">
        <v>121</v>
      </c>
      <c r="C525">
        <v>1853.4886607271401</v>
      </c>
      <c r="D525">
        <v>6017.66071576594</v>
      </c>
      <c r="E525">
        <v>34</v>
      </c>
      <c r="F525">
        <v>34</v>
      </c>
      <c r="G525">
        <v>31.248918533325099</v>
      </c>
      <c r="H525">
        <v>75.694770812988196</v>
      </c>
      <c r="I525">
        <v>31.2552185058593</v>
      </c>
      <c r="J525">
        <v>75.705841064453097</v>
      </c>
      <c r="K525">
        <v>0.53847782608768602</v>
      </c>
      <c r="L525">
        <v>2.7333658021859701</v>
      </c>
      <c r="M525">
        <v>9.6305831260322994E-2</v>
      </c>
      <c r="N525">
        <v>9696</v>
      </c>
      <c r="T525">
        <v>6911653</v>
      </c>
    </row>
    <row r="526" spans="1:25" x14ac:dyDescent="0.3">
      <c r="A526" s="1">
        <v>45738</v>
      </c>
      <c r="B526">
        <v>199</v>
      </c>
      <c r="C526">
        <v>2276.4924127311401</v>
      </c>
      <c r="D526">
        <v>6871.6860896415401</v>
      </c>
      <c r="E526">
        <v>85</v>
      </c>
      <c r="F526">
        <v>85</v>
      </c>
      <c r="G526">
        <v>31.249107360839801</v>
      </c>
      <c r="H526">
        <v>75.694770812988196</v>
      </c>
      <c r="I526">
        <v>31.255773544311499</v>
      </c>
      <c r="J526">
        <v>75.705413818359304</v>
      </c>
      <c r="K526">
        <v>0.49361167331908501</v>
      </c>
      <c r="L526">
        <v>4.8303243188897698</v>
      </c>
      <c r="M526">
        <v>4.5310838983436498E-2</v>
      </c>
      <c r="N526">
        <v>10329</v>
      </c>
      <c r="R526">
        <v>3292102</v>
      </c>
      <c r="T526">
        <v>6670298</v>
      </c>
      <c r="Y526">
        <v>1509753</v>
      </c>
    </row>
    <row r="527" spans="1:25" x14ac:dyDescent="0.3">
      <c r="A527" s="1">
        <v>45739</v>
      </c>
      <c r="B527">
        <v>143</v>
      </c>
      <c r="C527">
        <v>1783.9193077382399</v>
      </c>
      <c r="D527">
        <v>7339.3483998660504</v>
      </c>
      <c r="E527">
        <v>50</v>
      </c>
      <c r="F527">
        <v>50</v>
      </c>
      <c r="G527">
        <v>31.249086380004801</v>
      </c>
      <c r="H527">
        <v>75.697601318359304</v>
      </c>
      <c r="I527">
        <v>31.260124206542901</v>
      </c>
      <c r="J527">
        <v>75.707649230957003</v>
      </c>
      <c r="K527">
        <v>0.59702154615699699</v>
      </c>
      <c r="L527">
        <v>3.8123503321275698</v>
      </c>
      <c r="M527">
        <v>0.26151917602191299</v>
      </c>
      <c r="N527">
        <v>6711</v>
      </c>
      <c r="R527">
        <v>1902055</v>
      </c>
      <c r="T527">
        <v>3947789</v>
      </c>
      <c r="W527">
        <v>1800000</v>
      </c>
    </row>
    <row r="528" spans="1:25" x14ac:dyDescent="0.3">
      <c r="A528" s="1">
        <v>45740</v>
      </c>
      <c r="B528">
        <v>162</v>
      </c>
      <c r="C528">
        <v>2025.9103008710399</v>
      </c>
      <c r="D528">
        <v>6789.3031504016699</v>
      </c>
      <c r="E528">
        <v>51</v>
      </c>
      <c r="F528">
        <v>51</v>
      </c>
      <c r="G528">
        <v>31.249130249023398</v>
      </c>
      <c r="H528">
        <v>75.697807312011705</v>
      </c>
      <c r="I528">
        <v>31.257947921752901</v>
      </c>
      <c r="J528">
        <v>75.706787109375</v>
      </c>
      <c r="K528">
        <v>0.48204076135752</v>
      </c>
      <c r="L528">
        <v>4.2490435150947903</v>
      </c>
      <c r="M528">
        <v>6.8305774295311497E-2</v>
      </c>
      <c r="N528">
        <v>8072</v>
      </c>
      <c r="R528">
        <v>2059252</v>
      </c>
      <c r="T528">
        <v>3466342</v>
      </c>
      <c r="U528">
        <v>67611</v>
      </c>
      <c r="Y528">
        <v>1456244</v>
      </c>
    </row>
    <row r="529" spans="1:25" x14ac:dyDescent="0.3">
      <c r="A529" s="1">
        <v>45741</v>
      </c>
      <c r="B529">
        <v>131</v>
      </c>
      <c r="C529">
        <v>1860.0824806805199</v>
      </c>
      <c r="D529">
        <v>4716.2285623752696</v>
      </c>
      <c r="E529">
        <v>40</v>
      </c>
      <c r="F529">
        <v>40</v>
      </c>
      <c r="G529">
        <v>31.249160766601499</v>
      </c>
      <c r="H529">
        <v>75.696762084960895</v>
      </c>
      <c r="I529">
        <v>31.260267257690401</v>
      </c>
      <c r="J529">
        <v>75.706710815429602</v>
      </c>
      <c r="K529">
        <v>0.88343034756118999</v>
      </c>
      <c r="L529">
        <v>5.1468467819643102</v>
      </c>
      <c r="M529">
        <v>0.26151917602191299</v>
      </c>
      <c r="N529">
        <v>4481</v>
      </c>
      <c r="R529">
        <v>2475697</v>
      </c>
      <c r="T529">
        <v>1654847</v>
      </c>
      <c r="Y529">
        <v>1509843</v>
      </c>
    </row>
    <row r="530" spans="1:25" x14ac:dyDescent="0.3">
      <c r="A530" s="1">
        <v>45742</v>
      </c>
      <c r="B530">
        <v>110</v>
      </c>
      <c r="C530">
        <v>1832.63845988817</v>
      </c>
      <c r="D530">
        <v>4661.82030509385</v>
      </c>
      <c r="E530">
        <v>41</v>
      </c>
      <c r="F530">
        <v>41</v>
      </c>
      <c r="G530">
        <v>31.2489929199218</v>
      </c>
      <c r="H530">
        <v>75.696205139160099</v>
      </c>
      <c r="I530">
        <v>31.251567840576101</v>
      </c>
      <c r="J530">
        <v>75.704971313476506</v>
      </c>
      <c r="K530">
        <v>0.41788051491754402</v>
      </c>
      <c r="L530">
        <v>1.5327344216938501</v>
      </c>
      <c r="M530">
        <v>3.6992604434602797E-2</v>
      </c>
      <c r="N530">
        <v>6218</v>
      </c>
      <c r="R530">
        <v>2104065</v>
      </c>
      <c r="T530">
        <v>3769737</v>
      </c>
      <c r="U530">
        <v>213869</v>
      </c>
    </row>
    <row r="531" spans="1:25" x14ac:dyDescent="0.3">
      <c r="A531" s="1">
        <v>45743</v>
      </c>
      <c r="B531">
        <v>124</v>
      </c>
      <c r="C531">
        <v>1862.09170790743</v>
      </c>
      <c r="D531">
        <v>5172.2799031963996</v>
      </c>
      <c r="E531">
        <v>20</v>
      </c>
      <c r="F531">
        <v>20</v>
      </c>
      <c r="G531">
        <v>31.250591278076101</v>
      </c>
      <c r="H531">
        <v>75.701751708984304</v>
      </c>
      <c r="I531">
        <v>31.2569866180419</v>
      </c>
      <c r="J531">
        <v>75.706565856933594</v>
      </c>
      <c r="K531">
        <v>0.55915140415219</v>
      </c>
      <c r="L531">
        <v>2.3202219494859899</v>
      </c>
      <c r="M531">
        <v>0.27080453552459599</v>
      </c>
      <c r="N531">
        <v>8115</v>
      </c>
      <c r="T531">
        <v>4466391</v>
      </c>
      <c r="Y531">
        <v>1166552</v>
      </c>
    </row>
    <row r="532" spans="1:25" x14ac:dyDescent="0.3">
      <c r="A532" s="1">
        <v>45744</v>
      </c>
      <c r="B532">
        <v>125</v>
      </c>
      <c r="C532">
        <v>1768.43252633318</v>
      </c>
      <c r="D532">
        <v>6275.7541136077398</v>
      </c>
      <c r="E532">
        <v>41</v>
      </c>
      <c r="F532">
        <v>41</v>
      </c>
      <c r="G532">
        <v>31.249141693115199</v>
      </c>
      <c r="H532">
        <v>75.697883605957003</v>
      </c>
      <c r="I532">
        <v>31.2620544433593</v>
      </c>
      <c r="J532">
        <v>75.705009460449205</v>
      </c>
      <c r="K532">
        <v>0.53469085943471495</v>
      </c>
      <c r="L532">
        <v>3.3327587945830599</v>
      </c>
      <c r="M532">
        <v>0.10782637981695201</v>
      </c>
      <c r="N532">
        <v>8093</v>
      </c>
      <c r="R532">
        <v>1111210</v>
      </c>
      <c r="T532">
        <v>4093177</v>
      </c>
    </row>
    <row r="533" spans="1:25" x14ac:dyDescent="0.3">
      <c r="A533" s="1">
        <v>45745</v>
      </c>
      <c r="B533">
        <v>88</v>
      </c>
      <c r="C533">
        <v>1725.5363197828401</v>
      </c>
      <c r="D533">
        <v>4699.4549192903896</v>
      </c>
      <c r="E533">
        <v>50</v>
      </c>
      <c r="F533">
        <v>50</v>
      </c>
      <c r="G533">
        <v>31.249139785766602</v>
      </c>
      <c r="H533">
        <v>75.697715759277301</v>
      </c>
      <c r="I533">
        <v>31.260498046875</v>
      </c>
      <c r="J533">
        <v>75.707473754882798</v>
      </c>
      <c r="K533">
        <v>0.52738561174431597</v>
      </c>
      <c r="L533">
        <v>1.56843899072421</v>
      </c>
      <c r="M533">
        <v>0.282440710103666</v>
      </c>
      <c r="N533">
        <v>8273</v>
      </c>
      <c r="T533">
        <v>4460463</v>
      </c>
    </row>
    <row r="534" spans="1:25" x14ac:dyDescent="0.3">
      <c r="A534" s="1">
        <v>45746</v>
      </c>
      <c r="B534">
        <v>108</v>
      </c>
      <c r="C534">
        <v>1817.4172705425799</v>
      </c>
      <c r="D534">
        <v>6578.3249600558902</v>
      </c>
      <c r="E534">
        <v>58</v>
      </c>
      <c r="F534">
        <v>58</v>
      </c>
      <c r="G534">
        <v>31.249078750610298</v>
      </c>
      <c r="H534">
        <v>75.697723388671804</v>
      </c>
      <c r="I534">
        <v>31.261306762695298</v>
      </c>
      <c r="J534">
        <v>75.706092834472599</v>
      </c>
      <c r="K534">
        <v>0.586123068301873</v>
      </c>
      <c r="L534">
        <v>2.6024415132832899</v>
      </c>
      <c r="M534">
        <v>0.25105840898103698</v>
      </c>
      <c r="N534">
        <v>6803</v>
      </c>
      <c r="R534">
        <v>1708838</v>
      </c>
      <c r="T534">
        <v>4392087</v>
      </c>
    </row>
    <row r="535" spans="1:25" x14ac:dyDescent="0.3">
      <c r="A535" s="1">
        <v>45747</v>
      </c>
      <c r="B535">
        <v>53</v>
      </c>
      <c r="C535">
        <v>1668.88298753914</v>
      </c>
      <c r="D535">
        <v>792.32841840986998</v>
      </c>
      <c r="E535">
        <v>38</v>
      </c>
      <c r="F535">
        <v>38</v>
      </c>
      <c r="K535">
        <v>0.41700637078506497</v>
      </c>
      <c r="L535">
        <v>1.23611396140903</v>
      </c>
      <c r="M535">
        <v>0.266277575750413</v>
      </c>
      <c r="N535">
        <v>1296</v>
      </c>
      <c r="R535">
        <v>2202243</v>
      </c>
      <c r="T535">
        <v>373300</v>
      </c>
      <c r="U535">
        <v>281077</v>
      </c>
    </row>
    <row r="536" spans="1:25" x14ac:dyDescent="0.3">
      <c r="A536" s="1">
        <v>45748</v>
      </c>
      <c r="B536">
        <v>132</v>
      </c>
      <c r="C536">
        <v>2039.90728198939</v>
      </c>
      <c r="D536">
        <v>4874.5049397288003</v>
      </c>
      <c r="E536">
        <v>38</v>
      </c>
      <c r="F536">
        <v>38</v>
      </c>
      <c r="G536">
        <v>31.2491550445556</v>
      </c>
      <c r="H536">
        <v>75.697883605957003</v>
      </c>
      <c r="I536">
        <v>31.2594280242919</v>
      </c>
      <c r="J536">
        <v>75.706649780273395</v>
      </c>
      <c r="K536">
        <v>0.52039671031875601</v>
      </c>
      <c r="L536">
        <v>2.3497400081011399</v>
      </c>
      <c r="M536">
        <v>4.0621002029126801E-2</v>
      </c>
      <c r="N536">
        <v>5952</v>
      </c>
      <c r="R536">
        <v>1727737</v>
      </c>
      <c r="T536">
        <v>3769568</v>
      </c>
      <c r="Y536">
        <v>1717351</v>
      </c>
    </row>
    <row r="537" spans="1:25" x14ac:dyDescent="0.3">
      <c r="A537" s="1">
        <v>45749</v>
      </c>
      <c r="B537">
        <v>152</v>
      </c>
      <c r="C537">
        <v>1843.6701442764099</v>
      </c>
      <c r="D537">
        <v>5142.5851599787002</v>
      </c>
      <c r="E537">
        <v>43</v>
      </c>
      <c r="F537">
        <v>43</v>
      </c>
      <c r="G537">
        <v>31.248151779174801</v>
      </c>
      <c r="H537">
        <v>75.696647644042898</v>
      </c>
      <c r="I537">
        <v>31.252107620239201</v>
      </c>
      <c r="J537">
        <v>75.705070495605398</v>
      </c>
      <c r="K537">
        <v>0.48726985030464498</v>
      </c>
      <c r="L537">
        <v>2.3878494280426001</v>
      </c>
      <c r="M537">
        <v>0.15456175411919501</v>
      </c>
      <c r="N537">
        <v>8307</v>
      </c>
      <c r="R537">
        <v>2125195</v>
      </c>
      <c r="T537">
        <v>4449492</v>
      </c>
    </row>
    <row r="538" spans="1:25" x14ac:dyDescent="0.3">
      <c r="A538" s="1">
        <v>45750</v>
      </c>
      <c r="B538">
        <v>152</v>
      </c>
      <c r="C538">
        <v>1887.91990549709</v>
      </c>
      <c r="D538">
        <v>6992.0882775846103</v>
      </c>
      <c r="E538">
        <v>50</v>
      </c>
      <c r="F538">
        <v>50</v>
      </c>
      <c r="G538">
        <v>31.249996185302699</v>
      </c>
      <c r="H538">
        <v>75.697547912597599</v>
      </c>
      <c r="I538">
        <v>31.2613105773925</v>
      </c>
      <c r="J538">
        <v>75.706108093261705</v>
      </c>
      <c r="K538">
        <v>0.67987412924503898</v>
      </c>
      <c r="L538">
        <v>3.7492621324437501</v>
      </c>
      <c r="M538">
        <v>0.177762663382457</v>
      </c>
      <c r="N538">
        <v>8107</v>
      </c>
      <c r="R538">
        <v>2245614</v>
      </c>
      <c r="T538">
        <v>5168335</v>
      </c>
    </row>
    <row r="539" spans="1:25" x14ac:dyDescent="0.3">
      <c r="A539" s="1">
        <v>45751</v>
      </c>
      <c r="B539">
        <v>85</v>
      </c>
      <c r="C539">
        <v>1704.14093416798</v>
      </c>
      <c r="D539">
        <v>4535.6174946739102</v>
      </c>
      <c r="E539">
        <v>45</v>
      </c>
      <c r="F539">
        <v>45</v>
      </c>
      <c r="G539">
        <v>31.2490539550781</v>
      </c>
      <c r="H539">
        <v>75.697769165039006</v>
      </c>
      <c r="I539">
        <v>31.257938385009702</v>
      </c>
      <c r="J539">
        <v>75.705108642578097</v>
      </c>
      <c r="K539">
        <v>0.55216198582694598</v>
      </c>
      <c r="L539">
        <v>3.67823596796703</v>
      </c>
      <c r="M539">
        <v>3.6476154137914801E-2</v>
      </c>
      <c r="N539">
        <v>6092</v>
      </c>
      <c r="R539">
        <v>867152</v>
      </c>
      <c r="T539">
        <v>3122694</v>
      </c>
    </row>
    <row r="540" spans="1:25" x14ac:dyDescent="0.3">
      <c r="A540" s="1">
        <v>45752</v>
      </c>
      <c r="B540">
        <v>104</v>
      </c>
      <c r="C540">
        <v>1953.3319558973001</v>
      </c>
      <c r="D540">
        <v>4991.1379501205402</v>
      </c>
      <c r="E540">
        <v>33</v>
      </c>
      <c r="F540">
        <v>33</v>
      </c>
      <c r="G540">
        <v>31.249038696288999</v>
      </c>
      <c r="H540">
        <v>75.697769165039006</v>
      </c>
      <c r="I540">
        <v>31.2591953277587</v>
      </c>
      <c r="J540">
        <v>75.7066650390625</v>
      </c>
      <c r="K540">
        <v>0.53894419999345</v>
      </c>
      <c r="L540">
        <v>3.6597649691689398</v>
      </c>
      <c r="M540">
        <v>0.26890384168232101</v>
      </c>
      <c r="N540">
        <v>5155</v>
      </c>
      <c r="R540">
        <v>1202233</v>
      </c>
      <c r="T540">
        <v>3406139</v>
      </c>
      <c r="Y540">
        <v>1280426</v>
      </c>
    </row>
    <row r="541" spans="1:25" x14ac:dyDescent="0.3">
      <c r="A541" s="1">
        <v>45753</v>
      </c>
      <c r="B541">
        <v>119</v>
      </c>
      <c r="C541">
        <v>1806.4821601976801</v>
      </c>
      <c r="D541">
        <v>7009.4108816042899</v>
      </c>
      <c r="E541">
        <v>31</v>
      </c>
      <c r="F541">
        <v>31</v>
      </c>
      <c r="G541">
        <v>31.249280929565401</v>
      </c>
      <c r="H541">
        <v>75.695991516113196</v>
      </c>
      <c r="I541">
        <v>31.261985778808501</v>
      </c>
      <c r="J541">
        <v>75.706764221191406</v>
      </c>
      <c r="K541">
        <v>0.52753332067223702</v>
      </c>
      <c r="L541">
        <v>4.0059957112659399</v>
      </c>
      <c r="M541">
        <v>0.26151917602191299</v>
      </c>
      <c r="N541">
        <v>6881</v>
      </c>
      <c r="R541">
        <v>1678897</v>
      </c>
      <c r="T541">
        <v>4214642</v>
      </c>
    </row>
    <row r="542" spans="1:25" x14ac:dyDescent="0.3">
      <c r="A542" s="1">
        <v>45754</v>
      </c>
      <c r="B542">
        <v>169</v>
      </c>
      <c r="C542">
        <v>2010.4373407451101</v>
      </c>
      <c r="D542">
        <v>6308.6558884742299</v>
      </c>
      <c r="E542">
        <v>62</v>
      </c>
      <c r="F542">
        <v>62</v>
      </c>
      <c r="G542">
        <v>31.246332168579102</v>
      </c>
      <c r="H542">
        <v>75.700942993164006</v>
      </c>
      <c r="I542">
        <v>31.255876541137599</v>
      </c>
      <c r="J542">
        <v>75.710182189941406</v>
      </c>
      <c r="K542">
        <v>0.51236215040889099</v>
      </c>
      <c r="L542">
        <v>2.34155928940491</v>
      </c>
      <c r="M542">
        <v>4.6215510432451E-2</v>
      </c>
      <c r="N542">
        <v>9683</v>
      </c>
      <c r="R542">
        <v>2489692</v>
      </c>
      <c r="T542">
        <v>7254235</v>
      </c>
    </row>
    <row r="543" spans="1:25" x14ac:dyDescent="0.3">
      <c r="A543" s="1">
        <v>45755</v>
      </c>
      <c r="B543">
        <v>178</v>
      </c>
      <c r="C543">
        <v>1950.3250165618199</v>
      </c>
      <c r="D543">
        <v>7736.3971457056696</v>
      </c>
      <c r="E543">
        <v>43</v>
      </c>
      <c r="F543">
        <v>43</v>
      </c>
      <c r="G543">
        <v>31.246452331542901</v>
      </c>
      <c r="H543">
        <v>75.695442199707003</v>
      </c>
      <c r="I543">
        <v>31.260541915893501</v>
      </c>
      <c r="J543">
        <v>75.706787109375</v>
      </c>
      <c r="K543">
        <v>0.53268024150117899</v>
      </c>
      <c r="L543">
        <v>3.7139895530976799</v>
      </c>
      <c r="M543">
        <v>8.4462735418010707E-2</v>
      </c>
      <c r="N543">
        <v>11603</v>
      </c>
      <c r="R543">
        <v>1190500</v>
      </c>
      <c r="T543">
        <v>7492860</v>
      </c>
    </row>
    <row r="544" spans="1:25" x14ac:dyDescent="0.3">
      <c r="A544" s="1">
        <v>45756</v>
      </c>
      <c r="B544">
        <v>158</v>
      </c>
      <c r="C544">
        <v>2001.2374540046601</v>
      </c>
      <c r="D544">
        <v>9952.2278039698394</v>
      </c>
      <c r="E544">
        <v>74</v>
      </c>
      <c r="F544">
        <v>74</v>
      </c>
      <c r="G544">
        <v>31.249010086059499</v>
      </c>
      <c r="H544">
        <v>75.693206787109304</v>
      </c>
      <c r="I544">
        <v>31.261814117431602</v>
      </c>
      <c r="J544">
        <v>75.706779479980398</v>
      </c>
      <c r="K544">
        <v>0.494631913031505</v>
      </c>
      <c r="L544">
        <v>4.2306689769916703</v>
      </c>
      <c r="M544">
        <v>5.4254695890395502E-3</v>
      </c>
      <c r="N544">
        <v>9551</v>
      </c>
      <c r="R544">
        <v>2397732</v>
      </c>
      <c r="T544">
        <v>7176392</v>
      </c>
    </row>
    <row r="545" spans="1:20" x14ac:dyDescent="0.3">
      <c r="A545" s="1">
        <v>45757</v>
      </c>
      <c r="B545">
        <v>164</v>
      </c>
      <c r="C545">
        <v>1943.7404022712201</v>
      </c>
      <c r="D545">
        <v>8741.3947319751205</v>
      </c>
      <c r="E545">
        <v>39</v>
      </c>
      <c r="F545">
        <v>39</v>
      </c>
      <c r="G545">
        <v>31.249082565307599</v>
      </c>
      <c r="H545">
        <v>75.696685791015597</v>
      </c>
      <c r="I545">
        <v>31.261013031005799</v>
      </c>
      <c r="J545">
        <v>75.705825805664006</v>
      </c>
      <c r="K545">
        <v>0.52315862611928399</v>
      </c>
      <c r="L545">
        <v>4.5520833123218702</v>
      </c>
      <c r="M545">
        <v>7.0750636201099698E-2</v>
      </c>
      <c r="N545">
        <v>9087</v>
      </c>
      <c r="R545">
        <v>1655204</v>
      </c>
      <c r="T545">
        <v>6869460</v>
      </c>
    </row>
    <row r="546" spans="1:20" x14ac:dyDescent="0.3">
      <c r="A546" s="1">
        <v>45758</v>
      </c>
      <c r="B546">
        <v>94</v>
      </c>
      <c r="C546">
        <v>1791.3260897427599</v>
      </c>
      <c r="D546">
        <v>4184.0052920437302</v>
      </c>
      <c r="E546">
        <v>48</v>
      </c>
      <c r="F546">
        <v>48</v>
      </c>
      <c r="G546">
        <v>31.249111175537099</v>
      </c>
      <c r="H546">
        <v>75.696762084960895</v>
      </c>
      <c r="I546">
        <v>31.256343841552699</v>
      </c>
      <c r="J546">
        <v>75.705802917480398</v>
      </c>
      <c r="K546">
        <v>0.49648332739725798</v>
      </c>
      <c r="L546">
        <v>2.2378525810904799</v>
      </c>
      <c r="M546">
        <v>0.15334213483474801</v>
      </c>
      <c r="N546">
        <v>3721</v>
      </c>
      <c r="R546">
        <v>2820293</v>
      </c>
      <c r="T546">
        <v>2702945</v>
      </c>
    </row>
    <row r="547" spans="1:20" x14ac:dyDescent="0.3">
      <c r="A547" s="1">
        <v>45759</v>
      </c>
      <c r="B547">
        <v>33</v>
      </c>
      <c r="C547">
        <v>940.918780126005</v>
      </c>
      <c r="D547">
        <v>833.07943457767794</v>
      </c>
      <c r="E547">
        <v>23</v>
      </c>
      <c r="F547">
        <v>23</v>
      </c>
      <c r="K547">
        <v>0.35307904217846597</v>
      </c>
      <c r="L547">
        <v>1.3226961646153601</v>
      </c>
      <c r="M547">
        <v>0.245875748135442</v>
      </c>
      <c r="N547">
        <v>1310</v>
      </c>
      <c r="R547">
        <v>1127899</v>
      </c>
      <c r="T547">
        <v>684228</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K20"/>
  <sheetViews>
    <sheetView showGridLines="0" tabSelected="1" workbookViewId="0">
      <selection activeCell="C27" sqref="C27"/>
    </sheetView>
  </sheetViews>
  <sheetFormatPr defaultRowHeight="14.4" x14ac:dyDescent="0.3"/>
  <cols>
    <col min="1" max="16384" width="8.88671875" style="5"/>
  </cols>
  <sheetData>
    <row r="20" spans="11:11" x14ac:dyDescent="0.3">
      <c r="K20" s="5" t="s">
        <v>51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44"/>
  <sheetViews>
    <sheetView topLeftCell="C1" workbookViewId="0">
      <selection activeCell="E10" sqref="E10"/>
    </sheetView>
  </sheetViews>
  <sheetFormatPr defaultRowHeight="14.4" x14ac:dyDescent="0.3"/>
  <cols>
    <col min="1" max="1" width="9.5546875" bestFit="1" customWidth="1"/>
    <col min="7" max="7" width="15.6640625" bestFit="1" customWidth="1"/>
    <col min="8" max="8" width="17" bestFit="1" customWidth="1"/>
    <col min="9" max="9" width="15.77734375" bestFit="1" customWidth="1"/>
    <col min="10" max="10" width="17.2187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s="1">
        <v>45717</v>
      </c>
      <c r="B2">
        <v>206</v>
      </c>
      <c r="C2">
        <v>2179.3333779560498</v>
      </c>
      <c r="D2">
        <v>10583.004056523199</v>
      </c>
      <c r="E2">
        <v>58</v>
      </c>
      <c r="F2">
        <v>58</v>
      </c>
      <c r="K2">
        <v>0.58750838274450801</v>
      </c>
      <c r="L2">
        <v>1.5719233332818701</v>
      </c>
      <c r="M2">
        <v>0.25011158278656997</v>
      </c>
      <c r="N2">
        <v>15414</v>
      </c>
      <c r="T2">
        <v>11002669</v>
      </c>
    </row>
    <row r="3" spans="1:25" x14ac:dyDescent="0.3">
      <c r="A3" s="1">
        <v>45718</v>
      </c>
      <c r="B3">
        <v>69</v>
      </c>
      <c r="C3">
        <v>1733.91076037997</v>
      </c>
      <c r="D3">
        <v>3842.1474420724198</v>
      </c>
      <c r="E3">
        <v>24</v>
      </c>
      <c r="F3">
        <v>24</v>
      </c>
      <c r="K3">
        <v>0.64305887997952405</v>
      </c>
      <c r="L3">
        <v>1.3785562778315299</v>
      </c>
      <c r="M3">
        <v>0.26098599942946399</v>
      </c>
      <c r="N3">
        <v>5805</v>
      </c>
      <c r="T3">
        <v>3015430</v>
      </c>
    </row>
    <row r="4" spans="1:25" x14ac:dyDescent="0.3">
      <c r="A4" s="1">
        <v>45719</v>
      </c>
      <c r="B4">
        <v>172</v>
      </c>
      <c r="C4">
        <v>1961.4526883563999</v>
      </c>
      <c r="D4">
        <v>7735.8210296744501</v>
      </c>
      <c r="E4">
        <v>43</v>
      </c>
      <c r="F4">
        <v>43</v>
      </c>
      <c r="K4">
        <v>0.475266732777888</v>
      </c>
      <c r="L4">
        <v>1.52709652508998</v>
      </c>
      <c r="M4">
        <v>0.25011158278656997</v>
      </c>
      <c r="N4">
        <v>11546</v>
      </c>
      <c r="R4">
        <v>970804</v>
      </c>
      <c r="T4">
        <v>6057167</v>
      </c>
    </row>
    <row r="5" spans="1:25" x14ac:dyDescent="0.3">
      <c r="A5" s="1">
        <v>45720</v>
      </c>
      <c r="B5">
        <v>115</v>
      </c>
      <c r="C5">
        <v>1949.3886603107401</v>
      </c>
      <c r="D5">
        <v>4650.5813388848201</v>
      </c>
      <c r="E5">
        <v>49</v>
      </c>
      <c r="F5">
        <v>49</v>
      </c>
      <c r="K5">
        <v>0.51482796356356997</v>
      </c>
      <c r="L5">
        <v>1.67516462496509</v>
      </c>
      <c r="M5">
        <v>0.25011158278656997</v>
      </c>
      <c r="N5">
        <v>6996</v>
      </c>
      <c r="R5">
        <v>1723800</v>
      </c>
      <c r="T5">
        <v>5035332</v>
      </c>
    </row>
    <row r="6" spans="1:25" x14ac:dyDescent="0.3">
      <c r="A6" s="1">
        <v>45721</v>
      </c>
      <c r="B6">
        <v>143</v>
      </c>
      <c r="C6">
        <v>2110.08934560647</v>
      </c>
      <c r="D6">
        <v>6494.3079545130004</v>
      </c>
      <c r="E6">
        <v>62</v>
      </c>
      <c r="F6">
        <v>62</v>
      </c>
      <c r="K6">
        <v>0.747104947728229</v>
      </c>
      <c r="L6">
        <v>1.7016063025306201</v>
      </c>
      <c r="M6">
        <v>0.273954253689284</v>
      </c>
      <c r="N6">
        <v>9599</v>
      </c>
      <c r="O6">
        <v>65.819999694824205</v>
      </c>
      <c r="P6">
        <v>65.819999694824205</v>
      </c>
      <c r="Q6">
        <v>65.819999694824205</v>
      </c>
      <c r="R6">
        <v>1733947</v>
      </c>
      <c r="S6">
        <v>9356</v>
      </c>
      <c r="T6">
        <v>7111981</v>
      </c>
      <c r="X6">
        <v>4417</v>
      </c>
      <c r="Y6">
        <v>338827</v>
      </c>
    </row>
    <row r="7" spans="1:25" x14ac:dyDescent="0.3">
      <c r="A7" s="1">
        <v>45722</v>
      </c>
      <c r="B7">
        <v>137</v>
      </c>
      <c r="C7">
        <v>2101.9643178460901</v>
      </c>
      <c r="D7">
        <v>9466.9283046649507</v>
      </c>
      <c r="E7">
        <v>61</v>
      </c>
      <c r="F7">
        <v>61</v>
      </c>
      <c r="G7">
        <v>31.249027252197202</v>
      </c>
      <c r="H7">
        <v>75.694633483886705</v>
      </c>
      <c r="I7">
        <v>31.2624607086181</v>
      </c>
      <c r="J7">
        <v>75.707183837890597</v>
      </c>
      <c r="K7">
        <v>0.77903504361809395</v>
      </c>
      <c r="L7">
        <v>6.2106352225049397</v>
      </c>
      <c r="M7">
        <v>1.16114053097633E-2</v>
      </c>
      <c r="N7">
        <v>7224</v>
      </c>
      <c r="R7">
        <v>2205287</v>
      </c>
      <c r="S7">
        <v>4923</v>
      </c>
      <c r="T7">
        <v>5505835</v>
      </c>
      <c r="Y7">
        <v>1103742</v>
      </c>
    </row>
    <row r="8" spans="1:25" x14ac:dyDescent="0.3">
      <c r="A8" s="1">
        <v>45723</v>
      </c>
      <c r="B8">
        <v>192</v>
      </c>
      <c r="C8">
        <v>2384.6021041388899</v>
      </c>
      <c r="D8">
        <v>8975.0751984745293</v>
      </c>
      <c r="E8">
        <v>58</v>
      </c>
      <c r="F8">
        <v>57</v>
      </c>
      <c r="G8">
        <v>31.249809265136701</v>
      </c>
      <c r="H8">
        <v>75.697166442871094</v>
      </c>
      <c r="I8">
        <v>31.262344360351499</v>
      </c>
      <c r="J8">
        <v>75.707984924316406</v>
      </c>
      <c r="K8">
        <v>0.78908144551497095</v>
      </c>
      <c r="L8">
        <v>4.4437231282940903</v>
      </c>
      <c r="M8">
        <v>2.15088601235539E-3</v>
      </c>
      <c r="N8">
        <v>13201</v>
      </c>
      <c r="S8">
        <v>1154</v>
      </c>
      <c r="T8">
        <v>12670151</v>
      </c>
      <c r="Y8">
        <v>2522502</v>
      </c>
    </row>
    <row r="9" spans="1:25" x14ac:dyDescent="0.3">
      <c r="A9" s="1">
        <v>45724</v>
      </c>
      <c r="B9">
        <v>49</v>
      </c>
      <c r="C9">
        <v>1672.8463340738899</v>
      </c>
      <c r="D9">
        <v>1600.7160757192401</v>
      </c>
      <c r="E9">
        <v>7</v>
      </c>
      <c r="F9">
        <v>7</v>
      </c>
      <c r="G9">
        <v>31.253826141357401</v>
      </c>
      <c r="H9">
        <v>75.693374633789006</v>
      </c>
      <c r="I9">
        <v>31.254478454589801</v>
      </c>
      <c r="J9">
        <v>75.69482421875</v>
      </c>
      <c r="K9">
        <v>0.495531498462491</v>
      </c>
      <c r="L9">
        <v>1.6593182141105101</v>
      </c>
      <c r="M9">
        <v>0.25153756144225897</v>
      </c>
      <c r="N9">
        <v>3215</v>
      </c>
      <c r="T9">
        <v>1812786</v>
      </c>
      <c r="Y9">
        <v>583519</v>
      </c>
    </row>
    <row r="10" spans="1:25" x14ac:dyDescent="0.3">
      <c r="A10" s="1">
        <v>45725</v>
      </c>
      <c r="B10">
        <v>53</v>
      </c>
      <c r="C10">
        <v>1702.38751893474</v>
      </c>
      <c r="D10">
        <v>619.77944386386298</v>
      </c>
      <c r="K10">
        <v>0.34336482459513901</v>
      </c>
      <c r="L10">
        <v>1.3382105203624399</v>
      </c>
      <c r="M10">
        <v>0.30336224418541902</v>
      </c>
      <c r="N10">
        <v>1119</v>
      </c>
      <c r="T10">
        <v>956904</v>
      </c>
      <c r="Y10">
        <v>2168417</v>
      </c>
    </row>
    <row r="11" spans="1:25" x14ac:dyDescent="0.3">
      <c r="A11" s="1">
        <v>45726</v>
      </c>
      <c r="B11">
        <v>38</v>
      </c>
      <c r="C11">
        <v>1610.5279187743399</v>
      </c>
      <c r="D11">
        <v>1480.55685911317</v>
      </c>
      <c r="E11">
        <v>6</v>
      </c>
      <c r="F11">
        <v>6</v>
      </c>
      <c r="G11">
        <v>31.249393463134702</v>
      </c>
      <c r="H11">
        <v>75.697319030761705</v>
      </c>
      <c r="I11">
        <v>31.253910064697202</v>
      </c>
      <c r="J11">
        <v>75.699424743652301</v>
      </c>
      <c r="K11">
        <v>0.42285803138027001</v>
      </c>
      <c r="L11">
        <v>3.67613520154101</v>
      </c>
      <c r="M11">
        <v>0.31382299114162399</v>
      </c>
      <c r="N11">
        <v>2300</v>
      </c>
      <c r="T11">
        <v>590782</v>
      </c>
      <c r="Y11">
        <v>423172</v>
      </c>
    </row>
    <row r="12" spans="1:25" x14ac:dyDescent="0.3">
      <c r="A12" s="1">
        <v>45727</v>
      </c>
      <c r="B12">
        <v>149</v>
      </c>
      <c r="C12">
        <v>2167.16823974409</v>
      </c>
      <c r="D12">
        <v>7362.1256563138004</v>
      </c>
      <c r="E12">
        <v>53</v>
      </c>
      <c r="F12">
        <v>53</v>
      </c>
      <c r="G12">
        <v>31.221578598022401</v>
      </c>
      <c r="H12">
        <v>75.694755554199205</v>
      </c>
      <c r="I12">
        <v>31.264938354492099</v>
      </c>
      <c r="J12">
        <v>75.766799926757798</v>
      </c>
      <c r="K12">
        <v>0.57729007896509998</v>
      </c>
      <c r="L12">
        <v>3.6770358388355802</v>
      </c>
      <c r="M12">
        <v>8.3533874131820104E-2</v>
      </c>
      <c r="N12">
        <v>8764</v>
      </c>
      <c r="R12">
        <v>1400760</v>
      </c>
      <c r="T12">
        <v>5076156</v>
      </c>
      <c r="Y12">
        <v>1501984</v>
      </c>
    </row>
    <row r="13" spans="1:25" x14ac:dyDescent="0.3">
      <c r="A13" s="1">
        <v>45728</v>
      </c>
      <c r="B13">
        <v>164</v>
      </c>
      <c r="C13">
        <v>2195.8084224098998</v>
      </c>
      <c r="D13">
        <v>6796.4483676048003</v>
      </c>
      <c r="E13">
        <v>54</v>
      </c>
      <c r="F13">
        <v>54</v>
      </c>
      <c r="G13">
        <v>31.2486457824707</v>
      </c>
      <c r="H13">
        <v>75.698867797851506</v>
      </c>
      <c r="I13">
        <v>31.2620944976806</v>
      </c>
      <c r="J13">
        <v>75.707710266113196</v>
      </c>
      <c r="K13">
        <v>0.493727460581452</v>
      </c>
      <c r="L13">
        <v>1.5435128130085001</v>
      </c>
      <c r="M13">
        <v>0.15127500104312799</v>
      </c>
      <c r="N13">
        <v>11517</v>
      </c>
      <c r="T13">
        <v>7256678</v>
      </c>
      <c r="Y13">
        <v>1921119</v>
      </c>
    </row>
    <row r="14" spans="1:25" x14ac:dyDescent="0.3">
      <c r="A14" s="1">
        <v>45729</v>
      </c>
      <c r="B14">
        <v>180</v>
      </c>
      <c r="C14">
        <v>1941.1256900441299</v>
      </c>
      <c r="D14">
        <v>10058.6882784307</v>
      </c>
      <c r="E14">
        <v>81</v>
      </c>
      <c r="F14">
        <v>81</v>
      </c>
      <c r="G14">
        <v>31.249090194702099</v>
      </c>
      <c r="H14">
        <v>75.697525024414006</v>
      </c>
      <c r="I14">
        <v>31.260108947753899</v>
      </c>
      <c r="J14">
        <v>75.708923339843693</v>
      </c>
      <c r="K14">
        <v>0.483977751701823</v>
      </c>
      <c r="L14">
        <v>3.5234343202265199</v>
      </c>
      <c r="M14">
        <v>1.22591477931997E-2</v>
      </c>
      <c r="N14">
        <v>11094</v>
      </c>
      <c r="R14">
        <v>1799596</v>
      </c>
      <c r="T14">
        <v>7134713</v>
      </c>
      <c r="W14">
        <v>1500000</v>
      </c>
    </row>
    <row r="15" spans="1:25" x14ac:dyDescent="0.3">
      <c r="A15" s="1">
        <v>45730</v>
      </c>
      <c r="B15">
        <v>83</v>
      </c>
      <c r="C15">
        <v>1443.7462651190201</v>
      </c>
      <c r="D15">
        <v>992.62825299604106</v>
      </c>
      <c r="K15">
        <v>0.31620488820209702</v>
      </c>
      <c r="L15">
        <v>0.83434215529628497</v>
      </c>
      <c r="M15">
        <v>0.25105840898103698</v>
      </c>
      <c r="N15">
        <v>1927</v>
      </c>
      <c r="T15">
        <v>135343</v>
      </c>
      <c r="W15">
        <v>3900000</v>
      </c>
      <c r="Y15">
        <v>43468</v>
      </c>
    </row>
    <row r="16" spans="1:25" x14ac:dyDescent="0.3">
      <c r="A16" s="1">
        <v>45731</v>
      </c>
      <c r="B16">
        <v>41</v>
      </c>
      <c r="C16">
        <v>1669.44981086955</v>
      </c>
      <c r="D16">
        <v>1803.00843153554</v>
      </c>
      <c r="E16">
        <v>9</v>
      </c>
      <c r="F16">
        <v>9</v>
      </c>
      <c r="G16">
        <v>31.253026962280199</v>
      </c>
      <c r="H16">
        <v>75.694793701171804</v>
      </c>
      <c r="I16">
        <v>31.2541790008544</v>
      </c>
      <c r="J16">
        <v>75.696327209472599</v>
      </c>
      <c r="K16">
        <v>0.66930157000241597</v>
      </c>
      <c r="L16">
        <v>1.45607320945247</v>
      </c>
      <c r="M16">
        <v>9.5318701712609102E-2</v>
      </c>
      <c r="N16">
        <v>3150</v>
      </c>
      <c r="T16">
        <v>2990711</v>
      </c>
      <c r="Y16">
        <v>96398</v>
      </c>
    </row>
    <row r="17" spans="1:25" x14ac:dyDescent="0.3">
      <c r="A17" s="1">
        <v>45732</v>
      </c>
      <c r="B17">
        <v>11</v>
      </c>
      <c r="C17">
        <v>1546.1721726892599</v>
      </c>
      <c r="D17">
        <v>517.14925685887397</v>
      </c>
      <c r="E17">
        <v>2</v>
      </c>
      <c r="F17">
        <v>2</v>
      </c>
      <c r="K17">
        <v>0.43627677182809199</v>
      </c>
      <c r="L17">
        <v>1.74390792892956</v>
      </c>
      <c r="M17">
        <v>0.31382298082787502</v>
      </c>
      <c r="N17">
        <v>1014</v>
      </c>
      <c r="T17">
        <v>1024369</v>
      </c>
    </row>
    <row r="18" spans="1:25" x14ac:dyDescent="0.3">
      <c r="A18" s="1">
        <v>45733</v>
      </c>
      <c r="B18">
        <v>139</v>
      </c>
      <c r="C18">
        <v>1883.1118381839301</v>
      </c>
      <c r="D18">
        <v>7869.13454599339</v>
      </c>
      <c r="E18">
        <v>43</v>
      </c>
      <c r="F18">
        <v>43</v>
      </c>
      <c r="G18">
        <v>31.251295089721602</v>
      </c>
      <c r="H18">
        <v>75.684181213378906</v>
      </c>
      <c r="I18">
        <v>31.274950027465799</v>
      </c>
      <c r="J18">
        <v>75.706703186035099</v>
      </c>
      <c r="K18">
        <v>0.523372224965722</v>
      </c>
      <c r="L18">
        <v>4.4274990092724202</v>
      </c>
      <c r="M18">
        <v>5.8680596462484899E-2</v>
      </c>
      <c r="N18">
        <v>8077</v>
      </c>
      <c r="R18">
        <v>1662161</v>
      </c>
      <c r="T18">
        <v>5700555</v>
      </c>
    </row>
    <row r="19" spans="1:25" x14ac:dyDescent="0.3">
      <c r="A19" s="1">
        <v>45734</v>
      </c>
      <c r="B19">
        <v>60</v>
      </c>
      <c r="C19">
        <v>1650.57800850743</v>
      </c>
      <c r="D19">
        <v>3855.1626887561602</v>
      </c>
      <c r="E19">
        <v>26</v>
      </c>
      <c r="F19">
        <v>26</v>
      </c>
      <c r="G19">
        <v>31.249036788940401</v>
      </c>
      <c r="H19">
        <v>75.697341918945298</v>
      </c>
      <c r="I19">
        <v>31.2599372863769</v>
      </c>
      <c r="J19">
        <v>75.707527160644503</v>
      </c>
      <c r="K19">
        <v>0.44356783366603397</v>
      </c>
      <c r="L19">
        <v>4.1747574127551701</v>
      </c>
      <c r="M19">
        <v>0.25105840898103698</v>
      </c>
      <c r="N19">
        <v>4288</v>
      </c>
      <c r="R19">
        <v>798861</v>
      </c>
      <c r="T19">
        <v>2169659</v>
      </c>
    </row>
    <row r="20" spans="1:25" x14ac:dyDescent="0.3">
      <c r="A20" s="1">
        <v>45735</v>
      </c>
      <c r="B20">
        <v>158</v>
      </c>
      <c r="C20">
        <v>1890.6747993415299</v>
      </c>
      <c r="D20">
        <v>6772.9567162722797</v>
      </c>
      <c r="E20">
        <v>52</v>
      </c>
      <c r="F20">
        <v>52</v>
      </c>
      <c r="G20">
        <v>31.249080657958899</v>
      </c>
      <c r="H20">
        <v>75.694816589355398</v>
      </c>
      <c r="I20">
        <v>31.260236740112301</v>
      </c>
      <c r="J20">
        <v>75.707580566406193</v>
      </c>
      <c r="K20">
        <v>0.45651369380256801</v>
      </c>
      <c r="L20">
        <v>1.46508544771995</v>
      </c>
      <c r="M20">
        <v>8.8814323204893394E-2</v>
      </c>
      <c r="N20">
        <v>11303</v>
      </c>
      <c r="R20">
        <v>1244493</v>
      </c>
      <c r="T20">
        <v>6292359</v>
      </c>
    </row>
    <row r="21" spans="1:25" x14ac:dyDescent="0.3">
      <c r="A21" s="1">
        <v>45736</v>
      </c>
      <c r="B21">
        <v>132</v>
      </c>
      <c r="C21">
        <v>1997.75909548292</v>
      </c>
      <c r="D21">
        <v>5567.8527972955098</v>
      </c>
      <c r="E21">
        <v>47</v>
      </c>
      <c r="F21">
        <v>47</v>
      </c>
      <c r="G21">
        <v>31.249080657958899</v>
      </c>
      <c r="H21">
        <v>75.695755004882798</v>
      </c>
      <c r="I21">
        <v>31.260288238525298</v>
      </c>
      <c r="J21">
        <v>75.707527160644503</v>
      </c>
      <c r="K21">
        <v>0.52479850078928603</v>
      </c>
      <c r="L21">
        <v>3.27196357468473</v>
      </c>
      <c r="M21">
        <v>0.27325638930213397</v>
      </c>
      <c r="N21">
        <v>5157</v>
      </c>
      <c r="R21">
        <v>2515802</v>
      </c>
      <c r="T21">
        <v>4015244</v>
      </c>
      <c r="V21">
        <v>900000</v>
      </c>
      <c r="Y21">
        <v>363744</v>
      </c>
    </row>
    <row r="22" spans="1:25" x14ac:dyDescent="0.3">
      <c r="A22" s="1">
        <v>45737</v>
      </c>
      <c r="B22">
        <v>121</v>
      </c>
      <c r="C22">
        <v>1853.4886607271401</v>
      </c>
      <c r="D22">
        <v>6017.66071576594</v>
      </c>
      <c r="E22">
        <v>34</v>
      </c>
      <c r="F22">
        <v>34</v>
      </c>
      <c r="G22">
        <v>31.248918533325099</v>
      </c>
      <c r="H22">
        <v>75.694770812988196</v>
      </c>
      <c r="I22">
        <v>31.2552185058593</v>
      </c>
      <c r="J22">
        <v>75.705841064453097</v>
      </c>
      <c r="K22">
        <v>0.53847782608768602</v>
      </c>
      <c r="L22">
        <v>2.7333658021859701</v>
      </c>
      <c r="M22">
        <v>9.6305831260322994E-2</v>
      </c>
      <c r="N22">
        <v>9696</v>
      </c>
      <c r="T22">
        <v>6911653</v>
      </c>
    </row>
    <row r="23" spans="1:25" x14ac:dyDescent="0.3">
      <c r="A23" s="1">
        <v>45738</v>
      </c>
      <c r="B23">
        <v>199</v>
      </c>
      <c r="C23">
        <v>2276.4924127311401</v>
      </c>
      <c r="D23">
        <v>6871.6860896415401</v>
      </c>
      <c r="E23">
        <v>85</v>
      </c>
      <c r="F23">
        <v>85</v>
      </c>
      <c r="G23">
        <v>31.249107360839801</v>
      </c>
      <c r="H23">
        <v>75.694770812988196</v>
      </c>
      <c r="I23">
        <v>31.255773544311499</v>
      </c>
      <c r="J23">
        <v>75.705413818359304</v>
      </c>
      <c r="K23">
        <v>0.49361167331908501</v>
      </c>
      <c r="L23">
        <v>4.8303243188897698</v>
      </c>
      <c r="M23">
        <v>4.5310838983436498E-2</v>
      </c>
      <c r="N23">
        <v>10329</v>
      </c>
      <c r="R23">
        <v>3292102</v>
      </c>
      <c r="T23">
        <v>6670298</v>
      </c>
      <c r="Y23">
        <v>1509753</v>
      </c>
    </row>
    <row r="24" spans="1:25" x14ac:dyDescent="0.3">
      <c r="A24" s="1">
        <v>45739</v>
      </c>
      <c r="B24">
        <v>143</v>
      </c>
      <c r="C24">
        <v>1783.9193077382399</v>
      </c>
      <c r="D24">
        <v>7339.3483998660504</v>
      </c>
      <c r="E24">
        <v>50</v>
      </c>
      <c r="F24">
        <v>50</v>
      </c>
      <c r="G24">
        <v>31.249086380004801</v>
      </c>
      <c r="H24">
        <v>75.697601318359304</v>
      </c>
      <c r="I24">
        <v>31.260124206542901</v>
      </c>
      <c r="J24">
        <v>75.707649230957003</v>
      </c>
      <c r="K24">
        <v>0.59702154615699699</v>
      </c>
      <c r="L24">
        <v>3.8123503321275698</v>
      </c>
      <c r="M24">
        <v>0.26151917602191299</v>
      </c>
      <c r="N24">
        <v>6711</v>
      </c>
      <c r="R24">
        <v>1902055</v>
      </c>
      <c r="T24">
        <v>3947789</v>
      </c>
      <c r="W24">
        <v>1800000</v>
      </c>
    </row>
    <row r="25" spans="1:25" x14ac:dyDescent="0.3">
      <c r="A25" s="1">
        <v>45740</v>
      </c>
      <c r="B25">
        <v>162</v>
      </c>
      <c r="C25">
        <v>2025.9103008710399</v>
      </c>
      <c r="D25">
        <v>6789.3031504016699</v>
      </c>
      <c r="E25">
        <v>51</v>
      </c>
      <c r="F25">
        <v>51</v>
      </c>
      <c r="G25">
        <v>31.249130249023398</v>
      </c>
      <c r="H25">
        <v>75.697807312011705</v>
      </c>
      <c r="I25">
        <v>31.257947921752901</v>
      </c>
      <c r="J25">
        <v>75.706787109375</v>
      </c>
      <c r="K25">
        <v>0.48204076135752</v>
      </c>
      <c r="L25">
        <v>4.2490435150947903</v>
      </c>
      <c r="M25">
        <v>6.8305774295311497E-2</v>
      </c>
      <c r="N25">
        <v>8072</v>
      </c>
      <c r="R25">
        <v>2059252</v>
      </c>
      <c r="T25">
        <v>3466342</v>
      </c>
      <c r="U25">
        <v>67611</v>
      </c>
      <c r="Y25">
        <v>1456244</v>
      </c>
    </row>
    <row r="26" spans="1:25" x14ac:dyDescent="0.3">
      <c r="A26" s="1">
        <v>45741</v>
      </c>
      <c r="B26">
        <v>131</v>
      </c>
      <c r="C26">
        <v>1860.0824806805199</v>
      </c>
      <c r="D26">
        <v>4716.2285623752696</v>
      </c>
      <c r="E26">
        <v>40</v>
      </c>
      <c r="F26">
        <v>40</v>
      </c>
      <c r="G26">
        <v>31.249160766601499</v>
      </c>
      <c r="H26">
        <v>75.696762084960895</v>
      </c>
      <c r="I26">
        <v>31.260267257690401</v>
      </c>
      <c r="J26">
        <v>75.706710815429602</v>
      </c>
      <c r="K26">
        <v>0.88343034756118999</v>
      </c>
      <c r="L26">
        <v>5.1468467819643102</v>
      </c>
      <c r="M26">
        <v>0.26151917602191299</v>
      </c>
      <c r="N26">
        <v>4481</v>
      </c>
      <c r="R26">
        <v>2475697</v>
      </c>
      <c r="T26">
        <v>1654847</v>
      </c>
      <c r="Y26">
        <v>1509843</v>
      </c>
    </row>
    <row r="27" spans="1:25" x14ac:dyDescent="0.3">
      <c r="A27" s="1">
        <v>45742</v>
      </c>
      <c r="B27">
        <v>110</v>
      </c>
      <c r="C27">
        <v>1832.63845988817</v>
      </c>
      <c r="D27">
        <v>4661.82030509385</v>
      </c>
      <c r="E27">
        <v>41</v>
      </c>
      <c r="F27">
        <v>41</v>
      </c>
      <c r="G27">
        <v>31.2489929199218</v>
      </c>
      <c r="H27">
        <v>75.696205139160099</v>
      </c>
      <c r="I27">
        <v>31.251567840576101</v>
      </c>
      <c r="J27">
        <v>75.704971313476506</v>
      </c>
      <c r="K27">
        <v>0.41788051491754402</v>
      </c>
      <c r="L27">
        <v>1.5327344216938501</v>
      </c>
      <c r="M27">
        <v>3.6992604434602797E-2</v>
      </c>
      <c r="N27">
        <v>6218</v>
      </c>
      <c r="R27">
        <v>2104065</v>
      </c>
      <c r="T27">
        <v>3769737</v>
      </c>
      <c r="U27">
        <v>213869</v>
      </c>
    </row>
    <row r="28" spans="1:25" x14ac:dyDescent="0.3">
      <c r="A28" s="1">
        <v>45743</v>
      </c>
      <c r="B28">
        <v>124</v>
      </c>
      <c r="C28">
        <v>1862.09170790743</v>
      </c>
      <c r="D28">
        <v>5172.2799031963996</v>
      </c>
      <c r="E28">
        <v>20</v>
      </c>
      <c r="F28">
        <v>20</v>
      </c>
      <c r="G28">
        <v>31.250591278076101</v>
      </c>
      <c r="H28">
        <v>75.701751708984304</v>
      </c>
      <c r="I28">
        <v>31.2569866180419</v>
      </c>
      <c r="J28">
        <v>75.706565856933594</v>
      </c>
      <c r="K28">
        <v>0.55915140415219</v>
      </c>
      <c r="L28">
        <v>2.3202219494859899</v>
      </c>
      <c r="M28">
        <v>0.27080453552459599</v>
      </c>
      <c r="N28">
        <v>8115</v>
      </c>
      <c r="T28">
        <v>4466391</v>
      </c>
      <c r="Y28">
        <v>1166552</v>
      </c>
    </row>
    <row r="29" spans="1:25" x14ac:dyDescent="0.3">
      <c r="A29" s="1">
        <v>45744</v>
      </c>
      <c r="B29">
        <v>125</v>
      </c>
      <c r="C29">
        <v>1768.43252633318</v>
      </c>
      <c r="D29">
        <v>6275.7541136077398</v>
      </c>
      <c r="E29">
        <v>41</v>
      </c>
      <c r="F29">
        <v>41</v>
      </c>
      <c r="G29">
        <v>31.249141693115199</v>
      </c>
      <c r="H29">
        <v>75.697883605957003</v>
      </c>
      <c r="I29">
        <v>31.2620544433593</v>
      </c>
      <c r="J29">
        <v>75.705009460449205</v>
      </c>
      <c r="K29">
        <v>0.53469085943471495</v>
      </c>
      <c r="L29">
        <v>3.3327587945830599</v>
      </c>
      <c r="M29">
        <v>0.10782637981695201</v>
      </c>
      <c r="N29">
        <v>8093</v>
      </c>
      <c r="R29">
        <v>1111210</v>
      </c>
      <c r="T29">
        <v>4093177</v>
      </c>
    </row>
    <row r="30" spans="1:25" x14ac:dyDescent="0.3">
      <c r="A30" s="1">
        <v>45745</v>
      </c>
      <c r="B30">
        <v>88</v>
      </c>
      <c r="C30">
        <v>1725.5363197828401</v>
      </c>
      <c r="D30">
        <v>4699.4549192903896</v>
      </c>
      <c r="E30">
        <v>50</v>
      </c>
      <c r="F30">
        <v>50</v>
      </c>
      <c r="G30">
        <v>31.249139785766602</v>
      </c>
      <c r="H30">
        <v>75.697715759277301</v>
      </c>
      <c r="I30">
        <v>31.260498046875</v>
      </c>
      <c r="J30">
        <v>75.707473754882798</v>
      </c>
      <c r="K30">
        <v>0.52738561174431597</v>
      </c>
      <c r="L30">
        <v>1.56843899072421</v>
      </c>
      <c r="M30">
        <v>0.282440710103666</v>
      </c>
      <c r="N30">
        <v>8273</v>
      </c>
      <c r="T30">
        <v>4460463</v>
      </c>
    </row>
    <row r="31" spans="1:25" x14ac:dyDescent="0.3">
      <c r="A31" s="1">
        <v>45746</v>
      </c>
      <c r="B31">
        <v>108</v>
      </c>
      <c r="C31">
        <v>1817.4172705425799</v>
      </c>
      <c r="D31">
        <v>6578.3249600558902</v>
      </c>
      <c r="E31">
        <v>58</v>
      </c>
      <c r="F31">
        <v>58</v>
      </c>
      <c r="G31">
        <v>31.249078750610298</v>
      </c>
      <c r="H31">
        <v>75.697723388671804</v>
      </c>
      <c r="I31">
        <v>31.261306762695298</v>
      </c>
      <c r="J31">
        <v>75.706092834472599</v>
      </c>
      <c r="K31">
        <v>0.586123068301873</v>
      </c>
      <c r="L31">
        <v>2.6024415132832899</v>
      </c>
      <c r="M31">
        <v>0.25105840898103698</v>
      </c>
      <c r="N31">
        <v>6803</v>
      </c>
      <c r="R31">
        <v>1708838</v>
      </c>
      <c r="T31">
        <v>4392087</v>
      </c>
    </row>
    <row r="32" spans="1:25" x14ac:dyDescent="0.3">
      <c r="A32" s="1">
        <v>45747</v>
      </c>
      <c r="B32">
        <v>53</v>
      </c>
      <c r="C32">
        <v>1668.88298753914</v>
      </c>
      <c r="D32">
        <v>792.32841840986998</v>
      </c>
      <c r="E32">
        <v>38</v>
      </c>
      <c r="F32">
        <v>38</v>
      </c>
      <c r="K32">
        <v>0.41700637078506497</v>
      </c>
      <c r="L32">
        <v>1.23611396140903</v>
      </c>
      <c r="M32">
        <v>0.266277575750413</v>
      </c>
      <c r="N32">
        <v>1296</v>
      </c>
      <c r="R32">
        <v>2202243</v>
      </c>
      <c r="T32">
        <v>373300</v>
      </c>
      <c r="U32">
        <v>281077</v>
      </c>
    </row>
    <row r="33" spans="1:25" x14ac:dyDescent="0.3">
      <c r="A33" s="1">
        <v>45748</v>
      </c>
      <c r="B33">
        <v>132</v>
      </c>
      <c r="C33">
        <v>2039.90728198939</v>
      </c>
      <c r="D33">
        <v>4874.5049397288003</v>
      </c>
      <c r="E33">
        <v>38</v>
      </c>
      <c r="F33">
        <v>38</v>
      </c>
      <c r="G33">
        <v>31.2491550445556</v>
      </c>
      <c r="H33">
        <v>75.697883605957003</v>
      </c>
      <c r="I33">
        <v>31.2594280242919</v>
      </c>
      <c r="J33">
        <v>75.706649780273395</v>
      </c>
      <c r="K33">
        <v>0.52039671031875601</v>
      </c>
      <c r="L33">
        <v>2.3497400081011399</v>
      </c>
      <c r="M33">
        <v>4.0621002029126801E-2</v>
      </c>
      <c r="N33">
        <v>5952</v>
      </c>
      <c r="R33">
        <v>1727737</v>
      </c>
      <c r="T33">
        <v>3769568</v>
      </c>
      <c r="Y33">
        <v>1717351</v>
      </c>
    </row>
    <row r="34" spans="1:25" x14ac:dyDescent="0.3">
      <c r="A34" s="1">
        <v>45749</v>
      </c>
      <c r="B34">
        <v>152</v>
      </c>
      <c r="C34">
        <v>1843.6701442764099</v>
      </c>
      <c r="D34">
        <v>5142.5851599787002</v>
      </c>
      <c r="E34">
        <v>43</v>
      </c>
      <c r="F34">
        <v>43</v>
      </c>
      <c r="G34">
        <v>31.248151779174801</v>
      </c>
      <c r="H34">
        <v>75.696647644042898</v>
      </c>
      <c r="I34">
        <v>31.252107620239201</v>
      </c>
      <c r="J34">
        <v>75.705070495605398</v>
      </c>
      <c r="K34">
        <v>0.48726985030464498</v>
      </c>
      <c r="L34">
        <v>2.3878494280426001</v>
      </c>
      <c r="M34">
        <v>0.15456175411919501</v>
      </c>
      <c r="N34">
        <v>8307</v>
      </c>
      <c r="R34">
        <v>2125195</v>
      </c>
      <c r="T34">
        <v>4449492</v>
      </c>
    </row>
    <row r="35" spans="1:25" x14ac:dyDescent="0.3">
      <c r="A35" s="1">
        <v>45750</v>
      </c>
      <c r="B35">
        <v>152</v>
      </c>
      <c r="C35">
        <v>1887.91990549709</v>
      </c>
      <c r="D35">
        <v>6992.0882775846103</v>
      </c>
      <c r="E35">
        <v>50</v>
      </c>
      <c r="F35">
        <v>50</v>
      </c>
      <c r="G35">
        <v>31.249996185302699</v>
      </c>
      <c r="H35">
        <v>75.697547912597599</v>
      </c>
      <c r="I35">
        <v>31.2613105773925</v>
      </c>
      <c r="J35">
        <v>75.706108093261705</v>
      </c>
      <c r="K35">
        <v>0.67987412924503898</v>
      </c>
      <c r="L35">
        <v>3.7492621324437501</v>
      </c>
      <c r="M35">
        <v>0.177762663382457</v>
      </c>
      <c r="N35">
        <v>8107</v>
      </c>
      <c r="R35">
        <v>2245614</v>
      </c>
      <c r="T35">
        <v>5168335</v>
      </c>
    </row>
    <row r="36" spans="1:25" x14ac:dyDescent="0.3">
      <c r="A36" s="1">
        <v>45751</v>
      </c>
      <c r="B36">
        <v>85</v>
      </c>
      <c r="C36">
        <v>1704.14093416798</v>
      </c>
      <c r="D36">
        <v>4535.6174946739102</v>
      </c>
      <c r="E36">
        <v>45</v>
      </c>
      <c r="F36">
        <v>45</v>
      </c>
      <c r="G36">
        <v>31.2490539550781</v>
      </c>
      <c r="H36">
        <v>75.697769165039006</v>
      </c>
      <c r="I36">
        <v>31.257938385009702</v>
      </c>
      <c r="J36">
        <v>75.705108642578097</v>
      </c>
      <c r="K36">
        <v>0.55216198582694598</v>
      </c>
      <c r="L36">
        <v>3.67823596796703</v>
      </c>
      <c r="M36">
        <v>3.6476154137914801E-2</v>
      </c>
      <c r="N36">
        <v>6092</v>
      </c>
      <c r="R36">
        <v>867152</v>
      </c>
      <c r="T36">
        <v>3122694</v>
      </c>
    </row>
    <row r="37" spans="1:25" x14ac:dyDescent="0.3">
      <c r="A37" s="1">
        <v>45752</v>
      </c>
      <c r="B37">
        <v>104</v>
      </c>
      <c r="C37">
        <v>1953.3319558973001</v>
      </c>
      <c r="D37">
        <v>4991.1379501205402</v>
      </c>
      <c r="E37">
        <v>33</v>
      </c>
      <c r="F37">
        <v>33</v>
      </c>
      <c r="G37">
        <v>31.249038696288999</v>
      </c>
      <c r="H37">
        <v>75.697769165039006</v>
      </c>
      <c r="I37">
        <v>31.2591953277587</v>
      </c>
      <c r="J37">
        <v>75.7066650390625</v>
      </c>
      <c r="K37">
        <v>0.53894419999345</v>
      </c>
      <c r="L37">
        <v>3.6597649691689398</v>
      </c>
      <c r="M37">
        <v>0.26890384168232101</v>
      </c>
      <c r="N37">
        <v>5155</v>
      </c>
      <c r="R37">
        <v>1202233</v>
      </c>
      <c r="T37">
        <v>3406139</v>
      </c>
      <c r="Y37">
        <v>1280426</v>
      </c>
    </row>
    <row r="38" spans="1:25" x14ac:dyDescent="0.3">
      <c r="A38" s="1">
        <v>45753</v>
      </c>
      <c r="B38">
        <v>119</v>
      </c>
      <c r="C38">
        <v>1806.4821601976801</v>
      </c>
      <c r="D38">
        <v>7009.4108816042899</v>
      </c>
      <c r="E38">
        <v>31</v>
      </c>
      <c r="F38">
        <v>31</v>
      </c>
      <c r="G38">
        <v>31.249280929565401</v>
      </c>
      <c r="H38">
        <v>75.695991516113196</v>
      </c>
      <c r="I38">
        <v>31.261985778808501</v>
      </c>
      <c r="J38">
        <v>75.706764221191406</v>
      </c>
      <c r="K38">
        <v>0.52753332067223702</v>
      </c>
      <c r="L38">
        <v>4.0059957112659399</v>
      </c>
      <c r="M38">
        <v>0.26151917602191299</v>
      </c>
      <c r="N38">
        <v>6881</v>
      </c>
      <c r="R38">
        <v>1678897</v>
      </c>
      <c r="T38">
        <v>4214642</v>
      </c>
    </row>
    <row r="39" spans="1:25" x14ac:dyDescent="0.3">
      <c r="A39" s="1">
        <v>45754</v>
      </c>
      <c r="B39">
        <v>169</v>
      </c>
      <c r="C39">
        <v>2010.4373407451101</v>
      </c>
      <c r="D39">
        <v>6308.6558884742299</v>
      </c>
      <c r="E39">
        <v>62</v>
      </c>
      <c r="F39">
        <v>62</v>
      </c>
      <c r="G39">
        <v>31.246332168579102</v>
      </c>
      <c r="H39">
        <v>75.700942993164006</v>
      </c>
      <c r="I39">
        <v>31.255876541137599</v>
      </c>
      <c r="J39">
        <v>75.710182189941406</v>
      </c>
      <c r="K39">
        <v>0.51236215040889099</v>
      </c>
      <c r="L39">
        <v>2.34155928940491</v>
      </c>
      <c r="M39">
        <v>4.6215510432451E-2</v>
      </c>
      <c r="N39">
        <v>9683</v>
      </c>
      <c r="R39">
        <v>2489692</v>
      </c>
      <c r="T39">
        <v>7254235</v>
      </c>
    </row>
    <row r="40" spans="1:25" x14ac:dyDescent="0.3">
      <c r="A40" s="1">
        <v>45755</v>
      </c>
      <c r="B40">
        <v>178</v>
      </c>
      <c r="C40">
        <v>1950.3250165618199</v>
      </c>
      <c r="D40">
        <v>7736.3971457056696</v>
      </c>
      <c r="E40">
        <v>43</v>
      </c>
      <c r="F40">
        <v>43</v>
      </c>
      <c r="G40">
        <v>31.246452331542901</v>
      </c>
      <c r="H40">
        <v>75.695442199707003</v>
      </c>
      <c r="I40">
        <v>31.260541915893501</v>
      </c>
      <c r="J40">
        <v>75.706787109375</v>
      </c>
      <c r="K40">
        <v>0.53268024150117899</v>
      </c>
      <c r="L40">
        <v>3.7139895530976799</v>
      </c>
      <c r="M40">
        <v>8.4462735418010707E-2</v>
      </c>
      <c r="N40">
        <v>11603</v>
      </c>
      <c r="R40">
        <v>1190500</v>
      </c>
      <c r="T40">
        <v>7492860</v>
      </c>
    </row>
    <row r="41" spans="1:25" x14ac:dyDescent="0.3">
      <c r="A41" s="1">
        <v>45756</v>
      </c>
      <c r="B41">
        <v>158</v>
      </c>
      <c r="C41">
        <v>2001.2374540046601</v>
      </c>
      <c r="D41">
        <v>9952.2278039698394</v>
      </c>
      <c r="E41">
        <v>74</v>
      </c>
      <c r="F41">
        <v>74</v>
      </c>
      <c r="G41">
        <v>31.249010086059499</v>
      </c>
      <c r="H41">
        <v>75.693206787109304</v>
      </c>
      <c r="I41">
        <v>31.261814117431602</v>
      </c>
      <c r="J41">
        <v>75.706779479980398</v>
      </c>
      <c r="K41">
        <v>0.494631913031505</v>
      </c>
      <c r="L41">
        <v>4.2306689769916703</v>
      </c>
      <c r="M41">
        <v>5.4254695890395502E-3</v>
      </c>
      <c r="N41">
        <v>9551</v>
      </c>
      <c r="R41">
        <v>2397732</v>
      </c>
      <c r="T41">
        <v>7176392</v>
      </c>
    </row>
    <row r="42" spans="1:25" x14ac:dyDescent="0.3">
      <c r="A42" s="1">
        <v>45757</v>
      </c>
      <c r="B42">
        <v>164</v>
      </c>
      <c r="C42">
        <v>1943.7404022712201</v>
      </c>
      <c r="D42">
        <v>8741.3947319751205</v>
      </c>
      <c r="E42">
        <v>39</v>
      </c>
      <c r="F42">
        <v>39</v>
      </c>
      <c r="G42">
        <v>31.249082565307599</v>
      </c>
      <c r="H42">
        <v>75.696685791015597</v>
      </c>
      <c r="I42">
        <v>31.261013031005799</v>
      </c>
      <c r="J42">
        <v>75.705825805664006</v>
      </c>
      <c r="K42">
        <v>0.52315862611928399</v>
      </c>
      <c r="L42">
        <v>4.5520833123218702</v>
      </c>
      <c r="M42">
        <v>7.0750636201099698E-2</v>
      </c>
      <c r="N42">
        <v>9087</v>
      </c>
      <c r="R42">
        <v>1655204</v>
      </c>
      <c r="T42">
        <v>6869460</v>
      </c>
    </row>
    <row r="43" spans="1:25" x14ac:dyDescent="0.3">
      <c r="A43" s="1">
        <v>45758</v>
      </c>
      <c r="B43">
        <v>94</v>
      </c>
      <c r="C43">
        <v>1791.3260897427599</v>
      </c>
      <c r="D43">
        <v>4184.0052920437302</v>
      </c>
      <c r="E43">
        <v>48</v>
      </c>
      <c r="F43">
        <v>48</v>
      </c>
      <c r="G43">
        <v>31.249111175537099</v>
      </c>
      <c r="H43">
        <v>75.696762084960895</v>
      </c>
      <c r="I43">
        <v>31.256343841552699</v>
      </c>
      <c r="J43">
        <v>75.705802917480398</v>
      </c>
      <c r="K43">
        <v>0.49648332739725798</v>
      </c>
      <c r="L43">
        <v>2.2378525810904799</v>
      </c>
      <c r="M43">
        <v>0.15334213483474801</v>
      </c>
      <c r="N43">
        <v>3721</v>
      </c>
      <c r="R43">
        <v>2820293</v>
      </c>
      <c r="T43">
        <v>2702945</v>
      </c>
    </row>
    <row r="44" spans="1:25" x14ac:dyDescent="0.3">
      <c r="A44" s="1">
        <v>45759</v>
      </c>
      <c r="B44">
        <v>33</v>
      </c>
      <c r="C44">
        <v>940.918780126005</v>
      </c>
      <c r="D44">
        <v>833.07943457767794</v>
      </c>
      <c r="E44">
        <v>23</v>
      </c>
      <c r="F44">
        <v>23</v>
      </c>
      <c r="K44">
        <v>0.35307904217846597</v>
      </c>
      <c r="L44">
        <v>1.3226961646153601</v>
      </c>
      <c r="M44">
        <v>0.245875748135442</v>
      </c>
      <c r="N44">
        <v>1310</v>
      </c>
      <c r="R44">
        <v>1127899</v>
      </c>
      <c r="T44">
        <v>684228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67"/>
  <sheetViews>
    <sheetView workbookViewId="0">
      <selection activeCell="C6" sqref="C6"/>
    </sheetView>
  </sheetViews>
  <sheetFormatPr defaultRowHeight="14.4" x14ac:dyDescent="0.3"/>
  <cols>
    <col min="1" max="1" width="10.5546875" bestFit="1" customWidth="1"/>
    <col min="18" max="18" width="18.109375" bestFit="1" customWidth="1"/>
    <col min="19" max="21" width="18.8867187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s="1">
        <v>45292</v>
      </c>
      <c r="B2">
        <v>14</v>
      </c>
      <c r="C2">
        <v>1595.13288129074</v>
      </c>
      <c r="D2">
        <v>608.80866027018601</v>
      </c>
      <c r="K2">
        <v>0.37653435344724601</v>
      </c>
      <c r="L2">
        <v>1.3094639041979901</v>
      </c>
      <c r="M2">
        <v>0.271860416072358</v>
      </c>
      <c r="N2">
        <v>1108</v>
      </c>
      <c r="T2">
        <v>526889</v>
      </c>
    </row>
    <row r="3" spans="1:25" x14ac:dyDescent="0.3">
      <c r="A3" s="1">
        <v>45293</v>
      </c>
      <c r="B3">
        <v>148</v>
      </c>
      <c r="C3">
        <v>2029.26418737176</v>
      </c>
      <c r="D3">
        <v>8077.24664048668</v>
      </c>
      <c r="E3">
        <v>73</v>
      </c>
      <c r="F3">
        <v>73</v>
      </c>
      <c r="K3">
        <v>0.53644058702320896</v>
      </c>
      <c r="L3">
        <v>1.7591086959711399</v>
      </c>
      <c r="M3">
        <v>0.25011158278656997</v>
      </c>
      <c r="N3">
        <v>11646</v>
      </c>
      <c r="T3">
        <v>6903504</v>
      </c>
    </row>
    <row r="4" spans="1:25" x14ac:dyDescent="0.3">
      <c r="A4" s="1">
        <v>45294</v>
      </c>
      <c r="B4">
        <v>19</v>
      </c>
      <c r="C4">
        <v>1627.08955441491</v>
      </c>
      <c r="D4">
        <v>1023.12162781215</v>
      </c>
      <c r="E4">
        <v>6</v>
      </c>
      <c r="F4">
        <v>6</v>
      </c>
      <c r="K4">
        <v>0.47915321955731199</v>
      </c>
      <c r="L4">
        <v>1.5223484583321401</v>
      </c>
      <c r="M4">
        <v>0.26098599942946399</v>
      </c>
      <c r="N4">
        <v>1584</v>
      </c>
      <c r="R4">
        <f ca="1">IF(ISBLANK(R6),AVERAGE(R:R),R6)</f>
        <v>0</v>
      </c>
      <c r="T4">
        <v>1099930</v>
      </c>
    </row>
    <row r="5" spans="1:25" x14ac:dyDescent="0.3">
      <c r="A5" s="1">
        <v>45295</v>
      </c>
      <c r="B5">
        <v>64</v>
      </c>
      <c r="C5">
        <v>1744.9463452520199</v>
      </c>
      <c r="D5">
        <v>3842.3758620499202</v>
      </c>
      <c r="E5">
        <v>34</v>
      </c>
      <c r="F5">
        <v>22</v>
      </c>
      <c r="K5">
        <v>0.78318570498428497</v>
      </c>
      <c r="L5">
        <v>2.0962124879329398</v>
      </c>
      <c r="M5">
        <v>0.26098599942946399</v>
      </c>
      <c r="N5">
        <v>5496</v>
      </c>
      <c r="T5">
        <v>3213317</v>
      </c>
    </row>
    <row r="6" spans="1:25" x14ac:dyDescent="0.3">
      <c r="A6" s="1">
        <v>45296</v>
      </c>
      <c r="B6">
        <v>10</v>
      </c>
      <c r="C6">
        <v>1574.0470376533499</v>
      </c>
      <c r="D6">
        <v>480.44304900630601</v>
      </c>
      <c r="K6">
        <v>0.348466572843111</v>
      </c>
      <c r="L6">
        <v>1.1016702182601701</v>
      </c>
      <c r="M6">
        <v>0.25011158278656997</v>
      </c>
      <c r="N6">
        <v>848</v>
      </c>
      <c r="T6">
        <v>148781</v>
      </c>
    </row>
    <row r="7" spans="1:25" x14ac:dyDescent="0.3">
      <c r="A7" s="1">
        <v>45297</v>
      </c>
      <c r="C7">
        <v>1565.75</v>
      </c>
      <c r="D7">
        <v>15.0066949671941</v>
      </c>
      <c r="K7">
        <v>0.25011158278656997</v>
      </c>
      <c r="L7">
        <v>0.25011158278656997</v>
      </c>
      <c r="M7">
        <v>0.25011158278656997</v>
      </c>
      <c r="N7">
        <v>43</v>
      </c>
    </row>
    <row r="8" spans="1:25" x14ac:dyDescent="0.3">
      <c r="A8" s="1">
        <v>45298</v>
      </c>
      <c r="B8">
        <v>9</v>
      </c>
      <c r="C8">
        <v>1581.1962276244201</v>
      </c>
      <c r="D8">
        <v>447.584070117539</v>
      </c>
      <c r="K8">
        <v>0.491808598995984</v>
      </c>
      <c r="L8">
        <v>1.0839761668188499</v>
      </c>
      <c r="M8">
        <v>0.271860416072358</v>
      </c>
      <c r="N8">
        <v>803</v>
      </c>
      <c r="T8">
        <v>276979</v>
      </c>
    </row>
    <row r="9" spans="1:25" x14ac:dyDescent="0.3">
      <c r="A9" s="1">
        <v>45299</v>
      </c>
      <c r="B9">
        <v>15</v>
      </c>
      <c r="C9">
        <v>1617.6938623927899</v>
      </c>
      <c r="D9">
        <v>712.57639009929301</v>
      </c>
      <c r="E9">
        <v>3</v>
      </c>
      <c r="F9">
        <v>3</v>
      </c>
      <c r="K9">
        <v>0.57299907107070003</v>
      </c>
      <c r="L9">
        <v>1.4705678030663001</v>
      </c>
      <c r="M9">
        <v>0.25011158278656997</v>
      </c>
      <c r="N9">
        <v>1185</v>
      </c>
      <c r="T9">
        <v>931448</v>
      </c>
    </row>
    <row r="10" spans="1:25" x14ac:dyDescent="0.3">
      <c r="A10" s="1">
        <v>45300</v>
      </c>
      <c r="B10">
        <v>5</v>
      </c>
      <c r="C10">
        <v>1565.75</v>
      </c>
      <c r="D10">
        <v>220.393841864205</v>
      </c>
      <c r="K10">
        <v>0.36993173520082501</v>
      </c>
      <c r="L10">
        <v>1.15064525726817</v>
      </c>
      <c r="M10">
        <v>0.271860416072358</v>
      </c>
      <c r="N10">
        <v>534</v>
      </c>
    </row>
    <row r="11" spans="1:25" x14ac:dyDescent="0.3">
      <c r="A11" s="1">
        <v>45301</v>
      </c>
      <c r="B11">
        <v>2</v>
      </c>
      <c r="C11">
        <v>1565.75</v>
      </c>
      <c r="D11">
        <v>112.87644475324301</v>
      </c>
      <c r="K11">
        <v>0.33939840530444199</v>
      </c>
      <c r="L11">
        <v>0.52848665728181698</v>
      </c>
      <c r="M11">
        <v>0.26098599942946399</v>
      </c>
      <c r="N11">
        <v>271</v>
      </c>
    </row>
    <row r="12" spans="1:25" x14ac:dyDescent="0.3">
      <c r="A12" s="1">
        <v>45302</v>
      </c>
      <c r="B12">
        <v>19</v>
      </c>
      <c r="C12">
        <v>1586.42950369597</v>
      </c>
      <c r="D12">
        <v>777.72420583078701</v>
      </c>
      <c r="E12">
        <v>1</v>
      </c>
      <c r="F12">
        <v>1</v>
      </c>
      <c r="K12">
        <v>0.60518843369294095</v>
      </c>
      <c r="L12">
        <v>1.4320418913169699</v>
      </c>
      <c r="M12">
        <v>0.26098599942946399</v>
      </c>
      <c r="N12">
        <v>1371</v>
      </c>
      <c r="T12">
        <v>370821</v>
      </c>
    </row>
    <row r="13" spans="1:25" x14ac:dyDescent="0.3">
      <c r="A13" s="1">
        <v>45303</v>
      </c>
      <c r="B13">
        <v>86</v>
      </c>
      <c r="C13">
        <v>1854.14157857283</v>
      </c>
      <c r="D13">
        <v>3180.2151434225502</v>
      </c>
      <c r="E13">
        <v>57</v>
      </c>
      <c r="F13">
        <v>57</v>
      </c>
      <c r="K13">
        <v>0.67489649063930601</v>
      </c>
      <c r="L13">
        <v>1.4242594413734</v>
      </c>
      <c r="M13">
        <v>0.315358082643936</v>
      </c>
      <c r="N13">
        <v>4604</v>
      </c>
      <c r="R13">
        <v>2232812</v>
      </c>
      <c r="T13">
        <v>2782871</v>
      </c>
    </row>
    <row r="14" spans="1:25" x14ac:dyDescent="0.3">
      <c r="A14" s="1">
        <v>45304</v>
      </c>
      <c r="B14">
        <v>1</v>
      </c>
      <c r="C14">
        <v>1565.75</v>
      </c>
      <c r="D14">
        <v>106.689742588732</v>
      </c>
      <c r="K14">
        <v>0.37290815776270497</v>
      </c>
      <c r="L14">
        <v>1.3064535627440099</v>
      </c>
      <c r="M14">
        <v>0.29360924935814697</v>
      </c>
      <c r="N14">
        <v>254</v>
      </c>
    </row>
    <row r="15" spans="1:25" x14ac:dyDescent="0.3">
      <c r="A15" s="1">
        <v>45305</v>
      </c>
      <c r="B15">
        <v>36</v>
      </c>
      <c r="C15">
        <v>1747.46977947916</v>
      </c>
      <c r="D15">
        <v>153.74008279860001</v>
      </c>
      <c r="E15">
        <v>32</v>
      </c>
      <c r="F15">
        <v>32</v>
      </c>
      <c r="K15">
        <v>0.391929696551783</v>
      </c>
      <c r="L15">
        <v>0.522930608231857</v>
      </c>
      <c r="M15">
        <v>0.32623246981076698</v>
      </c>
      <c r="N15">
        <v>265</v>
      </c>
      <c r="R15">
        <v>1949709</v>
      </c>
      <c r="T15">
        <v>1172895</v>
      </c>
    </row>
    <row r="16" spans="1:25" x14ac:dyDescent="0.3">
      <c r="A16" s="1">
        <v>45306</v>
      </c>
      <c r="B16">
        <v>31</v>
      </c>
      <c r="C16">
        <v>1656.57899775193</v>
      </c>
      <c r="D16">
        <v>1989.7371657835299</v>
      </c>
      <c r="E16">
        <v>17</v>
      </c>
      <c r="F16">
        <v>17</v>
      </c>
      <c r="K16">
        <v>0.56827437569066197</v>
      </c>
      <c r="L16">
        <v>1.3357218544349001</v>
      </c>
      <c r="M16">
        <v>0.252637209079906</v>
      </c>
      <c r="N16">
        <v>3084</v>
      </c>
      <c r="T16">
        <v>1628730</v>
      </c>
    </row>
    <row r="17" spans="1:21" x14ac:dyDescent="0.3">
      <c r="A17" s="1">
        <v>45307</v>
      </c>
      <c r="B17">
        <v>60</v>
      </c>
      <c r="C17">
        <v>1764.82617567888</v>
      </c>
      <c r="D17">
        <v>2644.94630853644</v>
      </c>
      <c r="E17">
        <v>39</v>
      </c>
      <c r="F17">
        <v>39</v>
      </c>
      <c r="K17">
        <v>0.57886971932527598</v>
      </c>
      <c r="L17">
        <v>1.4579745217881299</v>
      </c>
      <c r="M17">
        <v>0.25011158278656997</v>
      </c>
      <c r="N17">
        <v>3843</v>
      </c>
      <c r="R17">
        <v>1201154</v>
      </c>
      <c r="T17">
        <v>2091404</v>
      </c>
      <c r="U17">
        <v>84485</v>
      </c>
    </row>
    <row r="18" spans="1:21" x14ac:dyDescent="0.3">
      <c r="A18" s="1">
        <v>45308</v>
      </c>
      <c r="B18">
        <v>31</v>
      </c>
      <c r="C18">
        <v>1644.9471800911999</v>
      </c>
      <c r="D18">
        <v>2046.0274261817301</v>
      </c>
      <c r="E18">
        <v>18</v>
      </c>
      <c r="F18">
        <v>13</v>
      </c>
      <c r="K18">
        <v>0.61674951845624704</v>
      </c>
      <c r="L18">
        <v>2.2981873640714698</v>
      </c>
      <c r="M18">
        <v>0.26098599942946399</v>
      </c>
      <c r="N18">
        <v>2926</v>
      </c>
      <c r="T18">
        <v>1420150</v>
      </c>
    </row>
    <row r="19" spans="1:21" x14ac:dyDescent="0.3">
      <c r="A19" s="1">
        <v>45309</v>
      </c>
      <c r="B19">
        <v>79</v>
      </c>
      <c r="C19">
        <v>1848.5693881018899</v>
      </c>
      <c r="D19">
        <v>2799.3465462879799</v>
      </c>
      <c r="E19">
        <v>41</v>
      </c>
      <c r="F19">
        <v>41</v>
      </c>
      <c r="K19">
        <v>0.76043744322710105</v>
      </c>
      <c r="L19">
        <v>1.7604355816644499</v>
      </c>
      <c r="M19">
        <v>0.26466483130917701</v>
      </c>
      <c r="N19">
        <v>4161</v>
      </c>
      <c r="R19">
        <v>1707066</v>
      </c>
      <c r="T19">
        <v>3244883</v>
      </c>
    </row>
    <row r="20" spans="1:21" x14ac:dyDescent="0.3">
      <c r="A20" s="1">
        <v>45310</v>
      </c>
      <c r="B20">
        <v>83</v>
      </c>
      <c r="C20">
        <v>1810.0861802997299</v>
      </c>
      <c r="D20">
        <v>4077.3351865320601</v>
      </c>
      <c r="E20">
        <v>45</v>
      </c>
      <c r="F20">
        <v>45</v>
      </c>
      <c r="K20">
        <v>0.693172566888134</v>
      </c>
      <c r="L20">
        <v>1.6182189873903201</v>
      </c>
      <c r="M20">
        <v>0.271860416072358</v>
      </c>
      <c r="N20">
        <v>6244</v>
      </c>
      <c r="R20">
        <v>1113504</v>
      </c>
      <c r="T20">
        <v>3190239</v>
      </c>
    </row>
    <row r="21" spans="1:21" x14ac:dyDescent="0.3">
      <c r="A21" s="1">
        <v>45311</v>
      </c>
      <c r="B21">
        <v>112</v>
      </c>
      <c r="C21">
        <v>1836.2685488775001</v>
      </c>
      <c r="D21">
        <v>3486.0977261575099</v>
      </c>
      <c r="E21">
        <v>42</v>
      </c>
      <c r="F21">
        <v>42</v>
      </c>
      <c r="K21">
        <v>0.45826732601146097</v>
      </c>
      <c r="L21">
        <v>1.8823219066827399</v>
      </c>
      <c r="M21">
        <v>0.28273483271525301</v>
      </c>
      <c r="N21">
        <v>5424</v>
      </c>
      <c r="R21">
        <v>2131990</v>
      </c>
      <c r="T21">
        <v>2570225</v>
      </c>
    </row>
    <row r="22" spans="1:21" x14ac:dyDescent="0.3">
      <c r="A22" s="1">
        <v>45312</v>
      </c>
      <c r="B22">
        <v>147</v>
      </c>
      <c r="C22">
        <v>2023.3134109667601</v>
      </c>
      <c r="D22">
        <v>9778.2214726993407</v>
      </c>
      <c r="E22">
        <v>83</v>
      </c>
      <c r="F22">
        <v>83</v>
      </c>
      <c r="K22">
        <v>0.75107526677043901</v>
      </c>
      <c r="L22">
        <v>1.7431992383633199</v>
      </c>
      <c r="M22">
        <v>0.25011158278656997</v>
      </c>
      <c r="N22">
        <v>13855</v>
      </c>
      <c r="T22">
        <v>8200964</v>
      </c>
    </row>
    <row r="23" spans="1:21" x14ac:dyDescent="0.3">
      <c r="A23" s="1">
        <v>45313</v>
      </c>
      <c r="B23">
        <v>113</v>
      </c>
      <c r="C23">
        <v>1808.4761051723999</v>
      </c>
      <c r="D23">
        <v>4771.2829240574902</v>
      </c>
      <c r="E23">
        <v>40</v>
      </c>
      <c r="F23">
        <v>39</v>
      </c>
      <c r="K23">
        <v>0.46428072401602999</v>
      </c>
      <c r="L23">
        <v>2.12242122530848</v>
      </c>
      <c r="M23">
        <v>0.24917012244099801</v>
      </c>
      <c r="N23">
        <v>7429</v>
      </c>
      <c r="R23">
        <v>1341175</v>
      </c>
      <c r="T23">
        <v>2917819</v>
      </c>
    </row>
    <row r="24" spans="1:21" x14ac:dyDescent="0.3">
      <c r="A24" s="1">
        <v>45314</v>
      </c>
      <c r="B24">
        <v>49</v>
      </c>
      <c r="C24">
        <v>1712.9126754516401</v>
      </c>
      <c r="D24">
        <v>1101.2253095594899</v>
      </c>
      <c r="E24">
        <v>26</v>
      </c>
      <c r="F24">
        <v>26</v>
      </c>
      <c r="K24">
        <v>0.80968092098078004</v>
      </c>
      <c r="L24">
        <v>1.5464654910583999</v>
      </c>
      <c r="M24">
        <v>0.25011158278656997</v>
      </c>
      <c r="N24">
        <v>1867</v>
      </c>
      <c r="R24">
        <v>1661354</v>
      </c>
      <c r="T24">
        <v>861688</v>
      </c>
    </row>
    <row r="25" spans="1:21" x14ac:dyDescent="0.3">
      <c r="A25" s="1">
        <v>45315</v>
      </c>
      <c r="B25">
        <v>99</v>
      </c>
      <c r="C25">
        <v>1825.2785553241299</v>
      </c>
      <c r="D25">
        <v>4536.5379741001298</v>
      </c>
      <c r="E25">
        <v>44</v>
      </c>
      <c r="F25">
        <v>44</v>
      </c>
      <c r="K25">
        <v>0.50278705618748498</v>
      </c>
      <c r="L25">
        <v>1.68916383872422</v>
      </c>
      <c r="M25">
        <v>0.25011158278656997</v>
      </c>
      <c r="N25">
        <v>6679</v>
      </c>
      <c r="R25">
        <v>1374410</v>
      </c>
      <c r="T25">
        <v>3183566</v>
      </c>
    </row>
    <row r="26" spans="1:21" x14ac:dyDescent="0.3">
      <c r="A26" s="1">
        <v>45316</v>
      </c>
      <c r="B26">
        <v>75</v>
      </c>
      <c r="C26">
        <v>1796.1802039827401</v>
      </c>
      <c r="D26">
        <v>2358.4434625765398</v>
      </c>
      <c r="E26">
        <v>46</v>
      </c>
      <c r="F26">
        <v>46</v>
      </c>
      <c r="K26">
        <v>0.59897419817917097</v>
      </c>
      <c r="L26">
        <v>1.9150029210509301</v>
      </c>
      <c r="M26">
        <v>0.26098599942946399</v>
      </c>
      <c r="N26">
        <v>3547</v>
      </c>
      <c r="R26">
        <v>2231149</v>
      </c>
      <c r="T26">
        <v>1745294</v>
      </c>
    </row>
    <row r="27" spans="1:21" x14ac:dyDescent="0.3">
      <c r="A27" s="1">
        <v>45317</v>
      </c>
      <c r="B27">
        <v>185</v>
      </c>
      <c r="C27">
        <v>2162.9682010074798</v>
      </c>
      <c r="D27">
        <v>3556.42446855249</v>
      </c>
      <c r="E27">
        <v>139</v>
      </c>
      <c r="F27">
        <v>139</v>
      </c>
      <c r="K27">
        <v>0.389027696591978</v>
      </c>
      <c r="L27">
        <v>1.40718127957032</v>
      </c>
      <c r="M27">
        <v>0.25011158278656997</v>
      </c>
      <c r="N27">
        <v>5242</v>
      </c>
      <c r="R27">
        <v>7284445</v>
      </c>
      <c r="T27">
        <v>2916785</v>
      </c>
    </row>
    <row r="28" spans="1:21" x14ac:dyDescent="0.3">
      <c r="A28" s="1">
        <v>45318</v>
      </c>
      <c r="B28">
        <v>255</v>
      </c>
      <c r="C28">
        <v>2310.9798734470801</v>
      </c>
      <c r="D28">
        <v>13447.3306595788</v>
      </c>
      <c r="E28">
        <v>59</v>
      </c>
      <c r="F28">
        <v>58</v>
      </c>
      <c r="K28">
        <v>0.61623550121308202</v>
      </c>
      <c r="L28">
        <v>2.15356552070552</v>
      </c>
      <c r="M28">
        <v>0.244331101813476</v>
      </c>
      <c r="N28">
        <v>19898</v>
      </c>
      <c r="T28">
        <v>13125504</v>
      </c>
      <c r="U28">
        <v>100187</v>
      </c>
    </row>
    <row r="29" spans="1:21" x14ac:dyDescent="0.3">
      <c r="A29" s="1">
        <v>45319</v>
      </c>
      <c r="B29">
        <v>220</v>
      </c>
      <c r="C29">
        <v>2108.5351536959201</v>
      </c>
      <c r="D29">
        <v>10304.604386478701</v>
      </c>
      <c r="E29">
        <v>37</v>
      </c>
      <c r="F29">
        <v>35</v>
      </c>
      <c r="K29">
        <v>0.64669848012989894</v>
      </c>
      <c r="L29">
        <v>2.5214646227259299</v>
      </c>
      <c r="M29">
        <v>0.25933299620230299</v>
      </c>
      <c r="N29">
        <v>15465</v>
      </c>
      <c r="T29">
        <v>9458086</v>
      </c>
      <c r="U29">
        <v>106149</v>
      </c>
    </row>
    <row r="30" spans="1:21" x14ac:dyDescent="0.3">
      <c r="A30" s="1">
        <v>45320</v>
      </c>
      <c r="B30">
        <v>46</v>
      </c>
      <c r="C30">
        <v>1691.8977941898199</v>
      </c>
      <c r="D30">
        <v>1837.6268836471099</v>
      </c>
      <c r="E30">
        <v>17</v>
      </c>
      <c r="F30">
        <v>17</v>
      </c>
      <c r="K30">
        <v>0.52727642808116604</v>
      </c>
      <c r="L30">
        <v>2.0061278624037802</v>
      </c>
      <c r="M30">
        <v>0.29360924935814697</v>
      </c>
      <c r="N30">
        <v>2875</v>
      </c>
      <c r="R30">
        <v>712741</v>
      </c>
      <c r="T30">
        <v>1499616</v>
      </c>
    </row>
    <row r="31" spans="1:21" x14ac:dyDescent="0.3">
      <c r="A31" s="1">
        <v>45321</v>
      </c>
      <c r="B31">
        <v>113</v>
      </c>
      <c r="C31">
        <v>1893.5549449242901</v>
      </c>
      <c r="D31">
        <v>5181.1088791018501</v>
      </c>
      <c r="E31">
        <v>52</v>
      </c>
      <c r="F31">
        <v>50</v>
      </c>
      <c r="K31">
        <v>0.45417362902543201</v>
      </c>
      <c r="L31">
        <v>1.90626799314079</v>
      </c>
      <c r="M31">
        <v>0.25011158278656997</v>
      </c>
      <c r="N31">
        <v>7546</v>
      </c>
      <c r="R31">
        <v>1381382</v>
      </c>
      <c r="T31">
        <v>4400428</v>
      </c>
    </row>
    <row r="32" spans="1:21" x14ac:dyDescent="0.3">
      <c r="A32" s="1">
        <v>45322</v>
      </c>
      <c r="B32">
        <v>94</v>
      </c>
      <c r="C32">
        <v>1890.47424629596</v>
      </c>
      <c r="D32">
        <v>2442.0519457829901</v>
      </c>
      <c r="E32">
        <v>59</v>
      </c>
      <c r="F32">
        <v>59</v>
      </c>
      <c r="K32">
        <v>0.47592680590638098</v>
      </c>
      <c r="L32">
        <v>1.51062666744378</v>
      </c>
      <c r="M32">
        <v>0.25193731322073798</v>
      </c>
      <c r="N32">
        <v>3907</v>
      </c>
      <c r="R32">
        <v>3213890</v>
      </c>
      <c r="T32">
        <v>2384888</v>
      </c>
    </row>
    <row r="33" spans="1:21" x14ac:dyDescent="0.3">
      <c r="A33" s="1">
        <v>45323</v>
      </c>
      <c r="B33">
        <v>63</v>
      </c>
      <c r="C33">
        <v>1798.43908167888</v>
      </c>
      <c r="D33">
        <v>1662.65136293623</v>
      </c>
      <c r="E33">
        <v>42</v>
      </c>
      <c r="F33">
        <v>42</v>
      </c>
      <c r="K33">
        <v>0.62362841110397704</v>
      </c>
      <c r="L33">
        <v>1.6993877150054999</v>
      </c>
      <c r="M33">
        <v>0.25011158278656997</v>
      </c>
      <c r="N33">
        <v>2551</v>
      </c>
      <c r="R33">
        <v>2120661</v>
      </c>
      <c r="T33">
        <v>1900416</v>
      </c>
    </row>
    <row r="34" spans="1:21" x14ac:dyDescent="0.3">
      <c r="A34" s="1">
        <v>45324</v>
      </c>
      <c r="B34">
        <v>109</v>
      </c>
      <c r="C34">
        <v>1914.5973916266601</v>
      </c>
      <c r="D34">
        <v>3103.9676462295101</v>
      </c>
      <c r="E34">
        <v>58</v>
      </c>
      <c r="F34">
        <v>58</v>
      </c>
      <c r="K34">
        <v>0.63392741778468897</v>
      </c>
      <c r="L34">
        <v>1.6070265755933999</v>
      </c>
      <c r="M34">
        <v>0.25011158278656997</v>
      </c>
      <c r="N34">
        <v>4764</v>
      </c>
      <c r="R34">
        <v>3201435</v>
      </c>
      <c r="T34">
        <v>2830783</v>
      </c>
    </row>
    <row r="35" spans="1:21" x14ac:dyDescent="0.3">
      <c r="A35" s="1">
        <v>45325</v>
      </c>
      <c r="B35">
        <v>146</v>
      </c>
      <c r="C35">
        <v>2022.3240205781101</v>
      </c>
      <c r="D35">
        <v>3216.1334137389499</v>
      </c>
      <c r="E35">
        <v>98</v>
      </c>
      <c r="F35">
        <v>98</v>
      </c>
      <c r="K35">
        <v>0.44354899048067398</v>
      </c>
      <c r="L35">
        <v>1.7570384572600499</v>
      </c>
      <c r="M35">
        <v>0.24992964497994399</v>
      </c>
      <c r="N35">
        <v>4977</v>
      </c>
      <c r="R35">
        <v>5282124</v>
      </c>
      <c r="T35">
        <v>2536732</v>
      </c>
    </row>
    <row r="36" spans="1:21" x14ac:dyDescent="0.3">
      <c r="A36" s="1">
        <v>45326</v>
      </c>
      <c r="B36">
        <v>9</v>
      </c>
      <c r="C36">
        <v>1590.0270452539901</v>
      </c>
      <c r="D36">
        <v>408.86730429716198</v>
      </c>
      <c r="K36">
        <v>0.32771857158116902</v>
      </c>
      <c r="L36">
        <v>1.3881720326707201</v>
      </c>
      <c r="M36">
        <v>0.25011158278656997</v>
      </c>
      <c r="N36">
        <v>734</v>
      </c>
      <c r="T36">
        <v>435332</v>
      </c>
    </row>
    <row r="37" spans="1:21" x14ac:dyDescent="0.3">
      <c r="A37" s="1">
        <v>45327</v>
      </c>
      <c r="B37">
        <v>139</v>
      </c>
      <c r="C37">
        <v>2032.6669168144599</v>
      </c>
      <c r="D37">
        <v>4199.6345291150801</v>
      </c>
      <c r="E37">
        <v>77</v>
      </c>
      <c r="F37">
        <v>77</v>
      </c>
      <c r="K37">
        <v>0.59466683184197899</v>
      </c>
      <c r="L37">
        <v>1.7579911868143501</v>
      </c>
      <c r="M37">
        <v>0.26098599942946399</v>
      </c>
      <c r="N37">
        <v>6205</v>
      </c>
      <c r="R37">
        <v>3544707</v>
      </c>
      <c r="T37">
        <v>4580573</v>
      </c>
    </row>
    <row r="38" spans="1:21" x14ac:dyDescent="0.3">
      <c r="A38" s="1">
        <v>45328</v>
      </c>
      <c r="B38">
        <v>130</v>
      </c>
      <c r="C38">
        <v>2017.2846974305201</v>
      </c>
      <c r="D38">
        <v>5242.1387662892403</v>
      </c>
      <c r="E38">
        <v>54</v>
      </c>
      <c r="F38">
        <v>54</v>
      </c>
      <c r="K38">
        <v>0.52831073215559299</v>
      </c>
      <c r="L38">
        <v>1.5639611928797601</v>
      </c>
      <c r="M38">
        <v>0.25011158278656997</v>
      </c>
      <c r="N38">
        <v>8044</v>
      </c>
      <c r="R38">
        <v>2139381</v>
      </c>
      <c r="T38">
        <v>5808271</v>
      </c>
    </row>
    <row r="39" spans="1:21" x14ac:dyDescent="0.3">
      <c r="A39" s="1">
        <v>45329</v>
      </c>
      <c r="B39">
        <v>130</v>
      </c>
      <c r="C39">
        <v>2033.0802436855199</v>
      </c>
      <c r="D39">
        <v>5459.7624319591996</v>
      </c>
      <c r="E39">
        <v>50</v>
      </c>
      <c r="F39">
        <v>50</v>
      </c>
      <c r="K39">
        <v>0.56383329226816603</v>
      </c>
      <c r="L39">
        <v>1.7089553736248999</v>
      </c>
      <c r="M39">
        <v>0.249852325090651</v>
      </c>
      <c r="N39">
        <v>8288</v>
      </c>
      <c r="R39">
        <v>1587448</v>
      </c>
      <c r="T39">
        <v>6292678</v>
      </c>
      <c r="U39">
        <v>169974</v>
      </c>
    </row>
    <row r="40" spans="1:21" x14ac:dyDescent="0.3">
      <c r="A40" s="1">
        <v>45330</v>
      </c>
      <c r="B40">
        <v>74</v>
      </c>
      <c r="C40">
        <v>1777.4593407397699</v>
      </c>
      <c r="D40">
        <v>2639.4365107487702</v>
      </c>
      <c r="E40">
        <v>33</v>
      </c>
      <c r="F40">
        <v>33</v>
      </c>
      <c r="K40">
        <v>0.62939902736891695</v>
      </c>
      <c r="L40">
        <v>1.53115349325685</v>
      </c>
      <c r="M40">
        <v>0.26098599942946399</v>
      </c>
      <c r="N40">
        <v>4161</v>
      </c>
      <c r="R40">
        <v>1547739</v>
      </c>
      <c r="T40">
        <v>2140664</v>
      </c>
    </row>
    <row r="41" spans="1:21" x14ac:dyDescent="0.3">
      <c r="A41" s="1">
        <v>45331</v>
      </c>
      <c r="B41">
        <v>128</v>
      </c>
      <c r="C41">
        <v>2017.76676902431</v>
      </c>
      <c r="D41">
        <v>4959.3662920200204</v>
      </c>
      <c r="E41">
        <v>66</v>
      </c>
      <c r="F41">
        <v>66</v>
      </c>
      <c r="K41">
        <v>0.54829613846021197</v>
      </c>
      <c r="L41">
        <v>1.5337883294530501</v>
      </c>
      <c r="M41">
        <v>0.26098599942946399</v>
      </c>
      <c r="N41">
        <v>7482</v>
      </c>
      <c r="R41">
        <v>2524732</v>
      </c>
      <c r="T41">
        <v>5404692</v>
      </c>
    </row>
    <row r="42" spans="1:21" x14ac:dyDescent="0.3">
      <c r="A42" s="1">
        <v>45332</v>
      </c>
      <c r="B42">
        <v>80</v>
      </c>
      <c r="C42">
        <v>1872.05644671081</v>
      </c>
      <c r="D42">
        <v>4979.3429816422904</v>
      </c>
      <c r="E42">
        <v>35</v>
      </c>
      <c r="F42">
        <v>34</v>
      </c>
      <c r="K42">
        <v>0.50319108077126995</v>
      </c>
      <c r="L42">
        <v>1.88747501415894</v>
      </c>
      <c r="M42">
        <v>0.25011158278656997</v>
      </c>
      <c r="N42">
        <v>7213</v>
      </c>
      <c r="T42">
        <v>5492633</v>
      </c>
    </row>
    <row r="43" spans="1:21" x14ac:dyDescent="0.3">
      <c r="A43" s="1">
        <v>45333</v>
      </c>
      <c r="B43">
        <v>172</v>
      </c>
      <c r="C43">
        <v>2135.5107059536699</v>
      </c>
      <c r="D43">
        <v>11326.0151752819</v>
      </c>
      <c r="E43">
        <v>110</v>
      </c>
      <c r="F43">
        <v>109</v>
      </c>
      <c r="K43">
        <v>0.58135474594501602</v>
      </c>
      <c r="L43">
        <v>2.066467689045</v>
      </c>
      <c r="M43">
        <v>0.25011158278656997</v>
      </c>
      <c r="N43">
        <v>16250</v>
      </c>
      <c r="T43">
        <v>10216848</v>
      </c>
    </row>
    <row r="44" spans="1:21" x14ac:dyDescent="0.3">
      <c r="A44" s="1">
        <v>45334</v>
      </c>
      <c r="B44">
        <v>96</v>
      </c>
      <c r="C44">
        <v>1913.0420679866199</v>
      </c>
      <c r="D44">
        <v>2388.44904186965</v>
      </c>
      <c r="E44">
        <v>58</v>
      </c>
      <c r="F44">
        <v>58</v>
      </c>
      <c r="K44">
        <v>0.52989756004160304</v>
      </c>
      <c r="L44">
        <v>1.4943348020596801</v>
      </c>
      <c r="M44">
        <v>0.26427340262837501</v>
      </c>
      <c r="N44">
        <v>3638</v>
      </c>
      <c r="R44">
        <v>3224376</v>
      </c>
      <c r="T44">
        <v>2778353</v>
      </c>
    </row>
    <row r="45" spans="1:21" x14ac:dyDescent="0.3">
      <c r="A45" s="1">
        <v>45335</v>
      </c>
      <c r="B45">
        <v>104</v>
      </c>
      <c r="C45">
        <v>1863.7814012562001</v>
      </c>
      <c r="D45">
        <v>2628.5683741692901</v>
      </c>
      <c r="E45">
        <v>48</v>
      </c>
      <c r="F45">
        <v>48</v>
      </c>
      <c r="K45">
        <v>0.57420960885728201</v>
      </c>
      <c r="L45">
        <v>1.50776766648353</v>
      </c>
      <c r="M45">
        <v>0.25011158278656997</v>
      </c>
      <c r="N45">
        <v>4036</v>
      </c>
      <c r="R45">
        <v>2810147</v>
      </c>
      <c r="T45">
        <v>2338134</v>
      </c>
    </row>
    <row r="46" spans="1:21" x14ac:dyDescent="0.3">
      <c r="A46" s="1">
        <v>45336</v>
      </c>
      <c r="B46">
        <v>66</v>
      </c>
      <c r="C46">
        <v>1750.09064120584</v>
      </c>
      <c r="D46">
        <v>3120.7875091391402</v>
      </c>
      <c r="E46">
        <v>27</v>
      </c>
      <c r="F46">
        <v>27</v>
      </c>
      <c r="K46">
        <v>0.53975281519706697</v>
      </c>
      <c r="L46">
        <v>1.5684160424567</v>
      </c>
      <c r="M46">
        <v>0.25011158278656997</v>
      </c>
      <c r="N46">
        <v>4682</v>
      </c>
      <c r="R46">
        <v>793995</v>
      </c>
      <c r="T46">
        <v>2456201</v>
      </c>
    </row>
    <row r="47" spans="1:21" x14ac:dyDescent="0.3">
      <c r="A47" s="1">
        <v>45337</v>
      </c>
      <c r="B47">
        <v>59</v>
      </c>
      <c r="C47">
        <v>1720.6751157801</v>
      </c>
      <c r="D47">
        <v>2218.90804505093</v>
      </c>
      <c r="E47">
        <v>31</v>
      </c>
      <c r="F47">
        <v>30</v>
      </c>
      <c r="K47">
        <v>0.55091404478333805</v>
      </c>
      <c r="L47">
        <v>2.0348322510752199</v>
      </c>
      <c r="M47">
        <v>0.25127391547000999</v>
      </c>
      <c r="N47">
        <v>3362</v>
      </c>
      <c r="R47">
        <v>1295382</v>
      </c>
      <c r="T47">
        <v>1392375</v>
      </c>
    </row>
    <row r="48" spans="1:21" x14ac:dyDescent="0.3">
      <c r="A48" s="1">
        <v>45338</v>
      </c>
      <c r="B48">
        <v>84</v>
      </c>
      <c r="C48">
        <v>1841.8018148450101</v>
      </c>
      <c r="D48">
        <v>3379.63421333922</v>
      </c>
      <c r="E48">
        <v>20</v>
      </c>
      <c r="F48">
        <v>20</v>
      </c>
      <c r="K48">
        <v>0.60031945309981605</v>
      </c>
      <c r="L48">
        <v>1.5916269117284501</v>
      </c>
      <c r="M48">
        <v>0.271860416072358</v>
      </c>
      <c r="N48">
        <v>5313</v>
      </c>
      <c r="R48">
        <v>754468</v>
      </c>
      <c r="T48">
        <v>4143030</v>
      </c>
    </row>
    <row r="49" spans="1:20" x14ac:dyDescent="0.3">
      <c r="A49" s="1">
        <v>45339</v>
      </c>
      <c r="B49">
        <v>155</v>
      </c>
      <c r="C49">
        <v>2020.17876702426</v>
      </c>
      <c r="D49">
        <v>5973.0806922669999</v>
      </c>
      <c r="E49">
        <v>64</v>
      </c>
      <c r="F49">
        <v>64</v>
      </c>
      <c r="K49">
        <v>0.566565218290636</v>
      </c>
      <c r="L49">
        <v>1.6164040590783899</v>
      </c>
      <c r="M49">
        <v>0.250563276465957</v>
      </c>
      <c r="N49">
        <v>9040</v>
      </c>
      <c r="R49">
        <v>2267070</v>
      </c>
      <c r="T49">
        <v>5723574</v>
      </c>
    </row>
    <row r="50" spans="1:20" x14ac:dyDescent="0.3">
      <c r="A50" s="1">
        <v>45340</v>
      </c>
      <c r="B50">
        <v>46</v>
      </c>
      <c r="C50">
        <v>1726.9659914814799</v>
      </c>
      <c r="D50">
        <v>242.06451447082799</v>
      </c>
      <c r="E50">
        <v>43</v>
      </c>
      <c r="F50">
        <v>43</v>
      </c>
      <c r="K50">
        <v>0.30868757987166701</v>
      </c>
      <c r="L50">
        <v>0.68643579360099705</v>
      </c>
      <c r="M50">
        <v>0.24784276036873101</v>
      </c>
      <c r="N50">
        <v>547</v>
      </c>
      <c r="R50">
        <v>2607597</v>
      </c>
      <c r="T50">
        <v>101459</v>
      </c>
    </row>
    <row r="51" spans="1:20" x14ac:dyDescent="0.3">
      <c r="A51" s="1">
        <v>45341</v>
      </c>
      <c r="B51">
        <v>80</v>
      </c>
      <c r="C51">
        <v>1777.58895647397</v>
      </c>
      <c r="D51">
        <v>3546.8755536695298</v>
      </c>
      <c r="E51">
        <v>35</v>
      </c>
      <c r="F51">
        <v>35</v>
      </c>
      <c r="K51">
        <v>0.48597946587172097</v>
      </c>
      <c r="L51">
        <v>1.5188774590923999</v>
      </c>
      <c r="M51">
        <v>0.243377179301632</v>
      </c>
      <c r="N51">
        <v>5217</v>
      </c>
      <c r="R51">
        <v>1063999</v>
      </c>
      <c r="T51">
        <v>2660462</v>
      </c>
    </row>
    <row r="52" spans="1:20" x14ac:dyDescent="0.3">
      <c r="A52" s="1">
        <v>45342</v>
      </c>
      <c r="B52">
        <v>92</v>
      </c>
      <c r="C52">
        <v>1830.4644448112699</v>
      </c>
      <c r="D52">
        <v>4157.75184862078</v>
      </c>
      <c r="E52">
        <v>33</v>
      </c>
      <c r="F52">
        <v>33</v>
      </c>
      <c r="K52">
        <v>0.52356778185048902</v>
      </c>
      <c r="L52">
        <v>1.7599311477944</v>
      </c>
      <c r="M52">
        <v>0.25011158278656997</v>
      </c>
      <c r="N52">
        <v>6301</v>
      </c>
      <c r="R52">
        <v>962008</v>
      </c>
      <c r="T52">
        <v>3717718</v>
      </c>
    </row>
    <row r="53" spans="1:20" x14ac:dyDescent="0.3">
      <c r="A53" s="1">
        <v>45343</v>
      </c>
      <c r="B53">
        <v>77</v>
      </c>
      <c r="C53">
        <v>1821.04749418191</v>
      </c>
      <c r="D53">
        <v>3643.5507507288098</v>
      </c>
      <c r="E53">
        <v>30</v>
      </c>
      <c r="F53">
        <v>30</v>
      </c>
      <c r="K53">
        <v>0.48693787972512798</v>
      </c>
      <c r="L53">
        <v>1.66494082489049</v>
      </c>
      <c r="M53">
        <v>0.271860416072358</v>
      </c>
      <c r="N53">
        <v>5594</v>
      </c>
      <c r="R53">
        <v>865846</v>
      </c>
      <c r="T53">
        <v>3651721</v>
      </c>
    </row>
    <row r="54" spans="1:20" x14ac:dyDescent="0.3">
      <c r="A54" s="1">
        <v>45344</v>
      </c>
      <c r="B54">
        <v>83</v>
      </c>
      <c r="C54">
        <v>1813.36849612637</v>
      </c>
      <c r="D54">
        <v>3986.4083383351199</v>
      </c>
      <c r="E54">
        <v>40</v>
      </c>
      <c r="F54">
        <v>40</v>
      </c>
      <c r="K54">
        <v>0.57591954631101505</v>
      </c>
      <c r="L54">
        <v>1.79058928997498</v>
      </c>
      <c r="M54">
        <v>0.247140765283997</v>
      </c>
      <c r="N54">
        <v>5861</v>
      </c>
      <c r="R54">
        <v>1055036</v>
      </c>
      <c r="T54">
        <v>3311643</v>
      </c>
    </row>
    <row r="55" spans="1:20" x14ac:dyDescent="0.3">
      <c r="A55" s="1">
        <v>45345</v>
      </c>
      <c r="B55">
        <v>76</v>
      </c>
      <c r="C55">
        <v>1737.7124411643099</v>
      </c>
      <c r="D55">
        <v>3367.7655268671701</v>
      </c>
      <c r="E55">
        <v>25</v>
      </c>
      <c r="F55">
        <v>25</v>
      </c>
      <c r="K55">
        <v>0.50117989904117199</v>
      </c>
      <c r="L55">
        <v>1.4620178297684101</v>
      </c>
      <c r="M55">
        <v>0.25011158278656997</v>
      </c>
      <c r="N55">
        <v>5110</v>
      </c>
      <c r="R55">
        <v>653858</v>
      </c>
      <c r="T55">
        <v>2384145</v>
      </c>
    </row>
    <row r="56" spans="1:20" x14ac:dyDescent="0.3">
      <c r="A56" s="1">
        <v>45346</v>
      </c>
      <c r="B56">
        <v>43</v>
      </c>
      <c r="C56">
        <v>1682.2509384027701</v>
      </c>
      <c r="D56">
        <v>794.70367960512306</v>
      </c>
      <c r="E56">
        <v>23</v>
      </c>
      <c r="F56">
        <v>23</v>
      </c>
      <c r="K56">
        <v>0.65636583858429598</v>
      </c>
      <c r="L56">
        <v>1.3967134847270399</v>
      </c>
      <c r="M56">
        <v>0.27274490262385698</v>
      </c>
      <c r="N56">
        <v>1370</v>
      </c>
      <c r="R56">
        <v>1490819</v>
      </c>
      <c r="T56">
        <v>494293</v>
      </c>
    </row>
    <row r="57" spans="1:20" x14ac:dyDescent="0.3">
      <c r="A57" s="1">
        <v>45347</v>
      </c>
      <c r="B57">
        <v>87</v>
      </c>
      <c r="C57">
        <v>1642.53867013842</v>
      </c>
      <c r="D57">
        <v>4715.2592824419899</v>
      </c>
      <c r="E57">
        <v>28</v>
      </c>
      <c r="F57">
        <v>28</v>
      </c>
      <c r="K57">
        <v>0.52114458948099296</v>
      </c>
      <c r="L57">
        <v>1.6357703685457201</v>
      </c>
      <c r="M57">
        <v>0.25011158278656997</v>
      </c>
      <c r="N57">
        <v>7137</v>
      </c>
      <c r="T57">
        <v>1376962</v>
      </c>
    </row>
    <row r="58" spans="1:20" x14ac:dyDescent="0.3">
      <c r="A58" s="1">
        <v>45348</v>
      </c>
      <c r="B58">
        <v>135</v>
      </c>
      <c r="C58">
        <v>2000.74072890292</v>
      </c>
      <c r="D58">
        <v>4334.6117963370698</v>
      </c>
      <c r="E58">
        <v>64</v>
      </c>
      <c r="F58">
        <v>64</v>
      </c>
      <c r="K58">
        <v>0.65900709346083097</v>
      </c>
      <c r="L58">
        <v>1.76135505414393</v>
      </c>
      <c r="M58">
        <v>0.242245128830788</v>
      </c>
      <c r="N58">
        <v>6458</v>
      </c>
      <c r="R58">
        <v>3068244</v>
      </c>
      <c r="T58">
        <v>4517969</v>
      </c>
    </row>
    <row r="59" spans="1:20" x14ac:dyDescent="0.3">
      <c r="A59" s="1">
        <v>45349</v>
      </c>
      <c r="B59">
        <v>81</v>
      </c>
      <c r="C59">
        <v>1795.4919188444601</v>
      </c>
      <c r="D59">
        <v>3733.3126378074098</v>
      </c>
      <c r="E59">
        <v>40</v>
      </c>
      <c r="F59">
        <v>40</v>
      </c>
      <c r="K59">
        <v>0.58436315366479696</v>
      </c>
      <c r="L59">
        <v>1.8096542232223001</v>
      </c>
      <c r="M59">
        <v>0.25011158278656997</v>
      </c>
      <c r="N59">
        <v>5566</v>
      </c>
      <c r="R59">
        <v>1209407</v>
      </c>
      <c r="T59">
        <v>2812875</v>
      </c>
    </row>
    <row r="60" spans="1:20" x14ac:dyDescent="0.3">
      <c r="A60" s="1">
        <v>45350</v>
      </c>
      <c r="B60">
        <v>70</v>
      </c>
      <c r="C60">
        <v>1794.97946694901</v>
      </c>
      <c r="D60">
        <v>3508.46935490129</v>
      </c>
      <c r="E60">
        <v>14</v>
      </c>
      <c r="F60">
        <v>12</v>
      </c>
      <c r="K60">
        <v>0.62961614183097403</v>
      </c>
      <c r="L60">
        <v>2.0555003143358301</v>
      </c>
      <c r="M60">
        <v>0.25065729501174699</v>
      </c>
      <c r="N60">
        <v>5353</v>
      </c>
      <c r="T60">
        <v>4070236</v>
      </c>
    </row>
    <row r="61" spans="1:20" x14ac:dyDescent="0.3">
      <c r="A61" s="1">
        <v>45351</v>
      </c>
      <c r="B61">
        <v>148</v>
      </c>
      <c r="C61">
        <v>2042.83017950061</v>
      </c>
      <c r="D61">
        <v>5429.9243762412898</v>
      </c>
      <c r="E61">
        <v>81</v>
      </c>
      <c r="F61">
        <v>81</v>
      </c>
      <c r="K61">
        <v>0.63477747090365</v>
      </c>
      <c r="L61">
        <v>1.59464639461333</v>
      </c>
      <c r="M61">
        <v>0.25176191833524902</v>
      </c>
      <c r="N61">
        <v>8238</v>
      </c>
      <c r="R61">
        <v>3429498</v>
      </c>
      <c r="T61">
        <v>4886261</v>
      </c>
    </row>
    <row r="62" spans="1:20" x14ac:dyDescent="0.3">
      <c r="A62" s="1">
        <v>45352</v>
      </c>
      <c r="B62">
        <v>128</v>
      </c>
      <c r="C62">
        <v>1983.1058967746101</v>
      </c>
      <c r="D62">
        <v>5049.04865043482</v>
      </c>
      <c r="E62">
        <v>78</v>
      </c>
      <c r="F62">
        <v>78</v>
      </c>
      <c r="K62">
        <v>0.72267493893255497</v>
      </c>
      <c r="L62">
        <v>1.7432819094991701</v>
      </c>
      <c r="M62">
        <v>0.29360924935814697</v>
      </c>
      <c r="N62">
        <v>7234</v>
      </c>
      <c r="R62">
        <v>2856955</v>
      </c>
      <c r="T62">
        <v>4427768</v>
      </c>
    </row>
    <row r="63" spans="1:20" x14ac:dyDescent="0.3">
      <c r="A63" s="1">
        <v>45353</v>
      </c>
      <c r="B63">
        <v>149</v>
      </c>
      <c r="C63">
        <v>1950.87994852103</v>
      </c>
      <c r="D63">
        <v>5284.9240501348104</v>
      </c>
      <c r="E63">
        <v>62</v>
      </c>
      <c r="F63">
        <v>62</v>
      </c>
      <c r="K63">
        <v>0.56803426525066303</v>
      </c>
      <c r="L63">
        <v>1.79205006922183</v>
      </c>
      <c r="M63">
        <v>0.26098599942946399</v>
      </c>
      <c r="N63">
        <v>8020</v>
      </c>
      <c r="R63">
        <v>2601769</v>
      </c>
      <c r="T63">
        <v>4122879</v>
      </c>
    </row>
    <row r="64" spans="1:20" x14ac:dyDescent="0.3">
      <c r="A64" s="1">
        <v>45354</v>
      </c>
      <c r="B64">
        <v>27</v>
      </c>
      <c r="C64">
        <v>1682.0651601649299</v>
      </c>
      <c r="D64">
        <v>304.43647350567699</v>
      </c>
      <c r="E64">
        <v>21</v>
      </c>
      <c r="F64">
        <v>21</v>
      </c>
      <c r="K64">
        <v>0.58910191395587497</v>
      </c>
      <c r="L64">
        <v>1.5635745571146999</v>
      </c>
      <c r="M64">
        <v>0.25011158278656997</v>
      </c>
      <c r="N64">
        <v>725</v>
      </c>
      <c r="R64">
        <v>1330722</v>
      </c>
      <c r="T64">
        <v>662223</v>
      </c>
    </row>
    <row r="65" spans="1:20" x14ac:dyDescent="0.3">
      <c r="A65" s="1">
        <v>45355</v>
      </c>
      <c r="B65">
        <v>85</v>
      </c>
      <c r="C65">
        <v>1829.59348544779</v>
      </c>
      <c r="D65">
        <v>2959.6219780139199</v>
      </c>
      <c r="E65">
        <v>33</v>
      </c>
      <c r="F65">
        <v>33</v>
      </c>
      <c r="K65">
        <v>0.633869663968749</v>
      </c>
      <c r="L65">
        <v>1.59512739244142</v>
      </c>
      <c r="M65">
        <v>0.25011158278656997</v>
      </c>
      <c r="N65">
        <v>4503</v>
      </c>
      <c r="R65">
        <v>1664110</v>
      </c>
      <c r="T65">
        <v>2951038</v>
      </c>
    </row>
    <row r="66" spans="1:20" x14ac:dyDescent="0.3">
      <c r="A66" s="1">
        <v>45356</v>
      </c>
      <c r="B66">
        <v>69</v>
      </c>
      <c r="C66">
        <v>1777.8021583745599</v>
      </c>
      <c r="D66">
        <v>1251.34067154901</v>
      </c>
      <c r="E66">
        <v>39</v>
      </c>
      <c r="F66">
        <v>39</v>
      </c>
      <c r="K66">
        <v>0.37398433000970899</v>
      </c>
      <c r="L66">
        <v>1.47021927171339</v>
      </c>
      <c r="M66">
        <v>0.24649990951887901</v>
      </c>
      <c r="N66">
        <v>1958</v>
      </c>
      <c r="R66">
        <v>2307674</v>
      </c>
      <c r="T66">
        <v>1333882</v>
      </c>
    </row>
    <row r="67" spans="1:20" x14ac:dyDescent="0.3">
      <c r="A67" s="1">
        <v>45357</v>
      </c>
      <c r="B67">
        <v>62</v>
      </c>
      <c r="C67">
        <v>1780.0195755510899</v>
      </c>
      <c r="D67">
        <v>902.65429694029694</v>
      </c>
      <c r="E67">
        <v>50</v>
      </c>
      <c r="F67">
        <v>50</v>
      </c>
      <c r="K67">
        <v>0.61058795862958004</v>
      </c>
      <c r="L67">
        <v>1.7439898241244101</v>
      </c>
      <c r="M67">
        <v>0.28273483271525301</v>
      </c>
      <c r="N67">
        <v>1552</v>
      </c>
      <c r="R67">
        <v>2888311</v>
      </c>
      <c r="T67">
        <v>752396</v>
      </c>
    </row>
    <row r="68" spans="1:20" x14ac:dyDescent="0.3">
      <c r="A68" s="1">
        <v>45358</v>
      </c>
      <c r="B68">
        <v>74</v>
      </c>
      <c r="C68">
        <v>1777.5989177050001</v>
      </c>
      <c r="D68">
        <v>3524.25486326497</v>
      </c>
      <c r="E68">
        <v>27</v>
      </c>
      <c r="F68">
        <v>27</v>
      </c>
      <c r="K68">
        <v>0.63771116844499998</v>
      </c>
      <c r="L68">
        <v>1.65158994920492</v>
      </c>
      <c r="M68">
        <v>0.29575528962820502</v>
      </c>
      <c r="N68">
        <v>5189</v>
      </c>
      <c r="R68">
        <v>669989</v>
      </c>
      <c r="T68">
        <v>3082126</v>
      </c>
    </row>
    <row r="69" spans="1:20" x14ac:dyDescent="0.3">
      <c r="A69" s="1">
        <v>45359</v>
      </c>
      <c r="B69">
        <v>166</v>
      </c>
      <c r="C69">
        <v>2132.7958570012302</v>
      </c>
      <c r="D69">
        <v>8911.0451292308408</v>
      </c>
      <c r="E69">
        <v>100</v>
      </c>
      <c r="F69">
        <v>100</v>
      </c>
      <c r="K69">
        <v>0.62186981756871496</v>
      </c>
      <c r="L69">
        <v>1.61603654482396</v>
      </c>
      <c r="M69">
        <v>0.26719719262751901</v>
      </c>
      <c r="N69">
        <v>12841</v>
      </c>
      <c r="R69">
        <v>1717595</v>
      </c>
      <c r="T69">
        <v>8330794</v>
      </c>
    </row>
    <row r="70" spans="1:20" x14ac:dyDescent="0.3">
      <c r="A70" s="1">
        <v>45360</v>
      </c>
      <c r="C70">
        <v>1570.6791328500001</v>
      </c>
      <c r="D70">
        <v>40.452829911566901</v>
      </c>
      <c r="K70">
        <v>0.375590709615859</v>
      </c>
      <c r="L70">
        <v>0.41447684252045702</v>
      </c>
      <c r="M70">
        <v>0.33555041130243701</v>
      </c>
      <c r="N70">
        <v>167</v>
      </c>
      <c r="T70">
        <v>88389</v>
      </c>
    </row>
    <row r="71" spans="1:20" x14ac:dyDescent="0.3">
      <c r="A71" s="1">
        <v>45361</v>
      </c>
      <c r="B71">
        <v>17</v>
      </c>
      <c r="C71">
        <v>1590.87380321052</v>
      </c>
      <c r="D71">
        <v>575.54772763107496</v>
      </c>
      <c r="E71">
        <v>1</v>
      </c>
      <c r="F71">
        <v>1</v>
      </c>
      <c r="K71">
        <v>0.358644157276722</v>
      </c>
      <c r="L71">
        <v>1.3032086604397899</v>
      </c>
      <c r="M71">
        <v>0.29360924935814697</v>
      </c>
      <c r="N71">
        <v>1172</v>
      </c>
      <c r="T71">
        <v>450515</v>
      </c>
    </row>
    <row r="72" spans="1:20" x14ac:dyDescent="0.3">
      <c r="A72" s="1">
        <v>45362</v>
      </c>
      <c r="B72">
        <v>137</v>
      </c>
      <c r="C72">
        <v>1968.17897839688</v>
      </c>
      <c r="D72">
        <v>6457.5341438557398</v>
      </c>
      <c r="E72">
        <v>33</v>
      </c>
      <c r="F72">
        <v>33</v>
      </c>
      <c r="K72">
        <v>0.59272366112666897</v>
      </c>
      <c r="L72">
        <v>1.6473765598507399</v>
      </c>
      <c r="M72">
        <v>0.25011158278656997</v>
      </c>
      <c r="N72">
        <v>9730</v>
      </c>
      <c r="R72">
        <v>778317</v>
      </c>
      <c r="T72">
        <v>6383693</v>
      </c>
    </row>
    <row r="73" spans="1:20" x14ac:dyDescent="0.3">
      <c r="A73" s="1">
        <v>45363</v>
      </c>
      <c r="B73">
        <v>56</v>
      </c>
      <c r="C73">
        <v>1728.9716821884001</v>
      </c>
      <c r="D73">
        <v>2022.7437783681501</v>
      </c>
      <c r="E73">
        <v>18</v>
      </c>
      <c r="F73">
        <v>18</v>
      </c>
      <c r="K73">
        <v>0.75782672668447604</v>
      </c>
      <c r="L73">
        <v>1.5682612110904</v>
      </c>
      <c r="M73">
        <v>0.315358082643936</v>
      </c>
      <c r="N73">
        <v>3214</v>
      </c>
      <c r="R73">
        <v>855808</v>
      </c>
      <c r="T73">
        <v>2011374</v>
      </c>
    </row>
    <row r="74" spans="1:20" x14ac:dyDescent="0.3">
      <c r="A74" s="1">
        <v>45364</v>
      </c>
      <c r="B74">
        <v>82</v>
      </c>
      <c r="C74">
        <v>1759.7279150136601</v>
      </c>
      <c r="D74">
        <v>3656.72751492835</v>
      </c>
      <c r="E74">
        <v>24</v>
      </c>
      <c r="F74">
        <v>24</v>
      </c>
      <c r="K74">
        <v>0.61009502633444801</v>
      </c>
      <c r="L74">
        <v>1.8420345372073701</v>
      </c>
      <c r="M74">
        <v>0.27385344317288302</v>
      </c>
      <c r="N74">
        <v>5485</v>
      </c>
      <c r="R74">
        <v>771151</v>
      </c>
      <c r="T74">
        <v>2653451</v>
      </c>
    </row>
    <row r="75" spans="1:20" x14ac:dyDescent="0.3">
      <c r="A75" s="1">
        <v>45365</v>
      </c>
      <c r="B75">
        <v>63</v>
      </c>
      <c r="C75">
        <v>1759.5657827463499</v>
      </c>
      <c r="D75">
        <v>1491.5478499915</v>
      </c>
      <c r="E75">
        <v>35</v>
      </c>
      <c r="F75">
        <v>35</v>
      </c>
      <c r="K75">
        <v>0.55068128431422303</v>
      </c>
      <c r="L75">
        <v>1.4331658724507499</v>
      </c>
      <c r="M75">
        <v>0.26098599942946399</v>
      </c>
      <c r="N75">
        <v>2263</v>
      </c>
      <c r="R75">
        <v>1932369</v>
      </c>
      <c r="T75">
        <v>1408347</v>
      </c>
    </row>
    <row r="76" spans="1:20" x14ac:dyDescent="0.3">
      <c r="A76" s="1">
        <v>45366</v>
      </c>
      <c r="C76">
        <v>1565.75</v>
      </c>
      <c r="N76">
        <v>48</v>
      </c>
    </row>
    <row r="77" spans="1:20" x14ac:dyDescent="0.3">
      <c r="A77" s="1">
        <v>45367</v>
      </c>
      <c r="B77">
        <v>131</v>
      </c>
      <c r="C77">
        <v>1987.5666719933499</v>
      </c>
      <c r="D77">
        <v>6259.4946061375804</v>
      </c>
      <c r="E77">
        <v>69</v>
      </c>
      <c r="F77">
        <v>69</v>
      </c>
      <c r="K77">
        <v>0.75092242022712496</v>
      </c>
      <c r="L77">
        <v>1.6170565803788799</v>
      </c>
      <c r="M77">
        <v>0.256866709120954</v>
      </c>
      <c r="N77">
        <v>9146</v>
      </c>
      <c r="R77">
        <v>1622908</v>
      </c>
      <c r="T77">
        <v>5827861</v>
      </c>
    </row>
    <row r="78" spans="1:20" x14ac:dyDescent="0.3">
      <c r="A78" s="1">
        <v>45368</v>
      </c>
      <c r="B78">
        <v>109</v>
      </c>
      <c r="C78">
        <v>1813.8673221521501</v>
      </c>
      <c r="D78">
        <v>4876.6013490237201</v>
      </c>
      <c r="E78">
        <v>64</v>
      </c>
      <c r="F78">
        <v>64</v>
      </c>
      <c r="K78">
        <v>0.49884281417880999</v>
      </c>
      <c r="L78">
        <v>1.8406209720736799</v>
      </c>
      <c r="M78">
        <v>0.25011158278656997</v>
      </c>
      <c r="N78">
        <v>7221</v>
      </c>
      <c r="R78">
        <v>1393792</v>
      </c>
      <c r="T78">
        <v>2958209</v>
      </c>
    </row>
    <row r="79" spans="1:20" x14ac:dyDescent="0.3">
      <c r="A79" s="1">
        <v>45369</v>
      </c>
      <c r="B79">
        <v>70</v>
      </c>
      <c r="C79">
        <v>1829.9042118231</v>
      </c>
      <c r="D79">
        <v>3765.0498611333401</v>
      </c>
      <c r="E79">
        <v>37</v>
      </c>
      <c r="F79">
        <v>37</v>
      </c>
      <c r="K79">
        <v>0.49206216206139503</v>
      </c>
      <c r="L79">
        <v>1.52633407852519</v>
      </c>
      <c r="M79">
        <v>0.25011158278656997</v>
      </c>
      <c r="N79">
        <v>5615</v>
      </c>
      <c r="R79">
        <v>591380</v>
      </c>
      <c r="T79">
        <v>4104147</v>
      </c>
    </row>
    <row r="80" spans="1:20" x14ac:dyDescent="0.3">
      <c r="A80" s="1">
        <v>45370</v>
      </c>
      <c r="B80">
        <v>74</v>
      </c>
      <c r="C80">
        <v>1823.9836912717101</v>
      </c>
      <c r="D80">
        <v>3216.2762954393002</v>
      </c>
      <c r="E80">
        <v>44</v>
      </c>
      <c r="F80">
        <v>44</v>
      </c>
      <c r="K80">
        <v>0.504010240803756</v>
      </c>
      <c r="L80">
        <v>1.8836183849171799</v>
      </c>
      <c r="M80">
        <v>0.25011158278656997</v>
      </c>
      <c r="N80">
        <v>4634</v>
      </c>
      <c r="R80">
        <v>1513916</v>
      </c>
      <c r="T80">
        <v>3011114</v>
      </c>
    </row>
    <row r="81" spans="1:21" x14ac:dyDescent="0.3">
      <c r="A81" s="1">
        <v>45371</v>
      </c>
      <c r="B81">
        <v>36</v>
      </c>
      <c r="C81">
        <v>1678.1587847011599</v>
      </c>
      <c r="D81">
        <v>450.22603489849399</v>
      </c>
      <c r="E81">
        <v>24</v>
      </c>
      <c r="F81">
        <v>24</v>
      </c>
      <c r="K81">
        <v>0.43591328233084498</v>
      </c>
      <c r="L81">
        <v>1.2117645495079901</v>
      </c>
      <c r="M81">
        <v>0.27910747799510999</v>
      </c>
      <c r="N81">
        <v>776</v>
      </c>
      <c r="R81">
        <v>1596201</v>
      </c>
      <c r="T81">
        <v>308183</v>
      </c>
    </row>
    <row r="82" spans="1:21" x14ac:dyDescent="0.3">
      <c r="A82" s="1">
        <v>45372</v>
      </c>
      <c r="B82">
        <v>70</v>
      </c>
      <c r="C82">
        <v>1794.0496118714</v>
      </c>
      <c r="D82">
        <v>3670.4053115537699</v>
      </c>
      <c r="E82">
        <v>22</v>
      </c>
      <c r="F82">
        <v>22</v>
      </c>
      <c r="K82">
        <v>0.37205597246988198</v>
      </c>
      <c r="L82">
        <v>1.4558545513116301</v>
      </c>
      <c r="M82">
        <v>0.25011158278656997</v>
      </c>
      <c r="N82">
        <v>5483</v>
      </c>
      <c r="T82">
        <v>4093827</v>
      </c>
    </row>
    <row r="83" spans="1:21" x14ac:dyDescent="0.3">
      <c r="A83" s="1">
        <v>45373</v>
      </c>
      <c r="B83">
        <v>111</v>
      </c>
      <c r="C83">
        <v>1846.25297878735</v>
      </c>
      <c r="D83">
        <v>5855.8187567600298</v>
      </c>
      <c r="E83">
        <v>25</v>
      </c>
      <c r="F83">
        <v>25</v>
      </c>
      <c r="K83">
        <v>0.56424506418332698</v>
      </c>
      <c r="L83">
        <v>1.60629718994143</v>
      </c>
      <c r="M83">
        <v>0.25011158278656997</v>
      </c>
      <c r="N83">
        <v>8958</v>
      </c>
      <c r="T83">
        <v>4797665</v>
      </c>
      <c r="U83">
        <v>101422</v>
      </c>
    </row>
    <row r="84" spans="1:21" x14ac:dyDescent="0.3">
      <c r="A84" s="1">
        <v>45374</v>
      </c>
      <c r="B84">
        <v>121</v>
      </c>
      <c r="C84">
        <v>1889.0073175838099</v>
      </c>
      <c r="D84">
        <v>5126.3332078742997</v>
      </c>
      <c r="E84">
        <v>19</v>
      </c>
      <c r="F84">
        <v>19</v>
      </c>
      <c r="K84">
        <v>0.45863054936922498</v>
      </c>
      <c r="L84">
        <v>1.47382080026692</v>
      </c>
      <c r="M84">
        <v>0.25011158278656997</v>
      </c>
      <c r="N84">
        <v>7938</v>
      </c>
      <c r="T84">
        <v>5796593</v>
      </c>
    </row>
    <row r="85" spans="1:21" x14ac:dyDescent="0.3">
      <c r="A85" s="1">
        <v>45375</v>
      </c>
      <c r="B85">
        <v>139</v>
      </c>
      <c r="C85">
        <v>1807.57074061556</v>
      </c>
      <c r="D85">
        <v>4734.4127554066699</v>
      </c>
      <c r="E85">
        <v>27</v>
      </c>
      <c r="F85">
        <v>27</v>
      </c>
      <c r="K85">
        <v>0.62968417998110104</v>
      </c>
      <c r="L85">
        <v>2.0005791572073002</v>
      </c>
      <c r="M85">
        <v>0.25039043860663202</v>
      </c>
      <c r="N85">
        <v>7426</v>
      </c>
      <c r="R85">
        <v>1180589</v>
      </c>
      <c r="T85">
        <v>3060750</v>
      </c>
    </row>
    <row r="86" spans="1:21" x14ac:dyDescent="0.3">
      <c r="A86" s="1">
        <v>45376</v>
      </c>
      <c r="B86">
        <v>91</v>
      </c>
      <c r="C86">
        <v>1757.4230907799799</v>
      </c>
      <c r="D86">
        <v>4315.6812755519604</v>
      </c>
      <c r="E86">
        <v>22</v>
      </c>
      <c r="F86">
        <v>22</v>
      </c>
      <c r="K86">
        <v>0.39279579683919402</v>
      </c>
      <c r="L86">
        <v>1.52470437484521</v>
      </c>
      <c r="M86">
        <v>0.25011158278656997</v>
      </c>
      <c r="N86">
        <v>6658</v>
      </c>
      <c r="T86">
        <v>3437049</v>
      </c>
    </row>
    <row r="87" spans="1:21" x14ac:dyDescent="0.3">
      <c r="A87" s="1">
        <v>45377</v>
      </c>
      <c r="B87">
        <v>112</v>
      </c>
      <c r="C87">
        <v>1672.8812301452299</v>
      </c>
      <c r="D87">
        <v>4404.27676678014</v>
      </c>
      <c r="E87">
        <v>2</v>
      </c>
      <c r="F87">
        <v>2</v>
      </c>
      <c r="K87">
        <v>0.45518855368781402</v>
      </c>
      <c r="L87">
        <v>1.4374392752776499</v>
      </c>
      <c r="M87">
        <v>0.25011158278656997</v>
      </c>
      <c r="N87">
        <v>7122</v>
      </c>
      <c r="T87">
        <v>1730186</v>
      </c>
      <c r="U87">
        <v>83347</v>
      </c>
    </row>
    <row r="88" spans="1:21" x14ac:dyDescent="0.3">
      <c r="A88" s="1">
        <v>45378</v>
      </c>
      <c r="B88">
        <v>64</v>
      </c>
      <c r="C88">
        <v>1715.1011619831099</v>
      </c>
      <c r="D88">
        <v>2679.8083238980998</v>
      </c>
      <c r="E88">
        <v>6</v>
      </c>
      <c r="F88">
        <v>6</v>
      </c>
      <c r="K88">
        <v>0.70221254133041</v>
      </c>
      <c r="L88">
        <v>1.52686302191458</v>
      </c>
      <c r="M88">
        <v>0.26098599942946399</v>
      </c>
      <c r="N88">
        <v>4163</v>
      </c>
      <c r="T88">
        <v>2678139</v>
      </c>
    </row>
    <row r="89" spans="1:21" x14ac:dyDescent="0.3">
      <c r="A89" s="1">
        <v>45379</v>
      </c>
      <c r="B89">
        <v>104</v>
      </c>
      <c r="C89">
        <v>1872.6756424647899</v>
      </c>
      <c r="D89">
        <v>4798.4851120466901</v>
      </c>
      <c r="E89">
        <v>24</v>
      </c>
      <c r="F89">
        <v>24</v>
      </c>
      <c r="K89">
        <v>0.50378486269853595</v>
      </c>
      <c r="L89">
        <v>1.4138008911842499</v>
      </c>
      <c r="M89">
        <v>0.271860416072358</v>
      </c>
      <c r="N89">
        <v>7275</v>
      </c>
      <c r="T89">
        <v>5503738</v>
      </c>
    </row>
    <row r="90" spans="1:21" x14ac:dyDescent="0.3">
      <c r="A90" s="1">
        <v>45380</v>
      </c>
      <c r="B90">
        <v>29</v>
      </c>
      <c r="C90">
        <v>1612.4930448503301</v>
      </c>
      <c r="D90">
        <v>1319.82978762836</v>
      </c>
      <c r="K90">
        <v>0.326405415251249</v>
      </c>
      <c r="L90">
        <v>1.0301217159234299</v>
      </c>
      <c r="M90">
        <v>0.25011158278656997</v>
      </c>
      <c r="N90">
        <v>2272</v>
      </c>
      <c r="T90">
        <v>838187</v>
      </c>
    </row>
    <row r="91" spans="1:21" x14ac:dyDescent="0.3">
      <c r="A91" s="1">
        <v>45381</v>
      </c>
      <c r="B91">
        <v>143</v>
      </c>
      <c r="C91">
        <v>2022.4388479008101</v>
      </c>
      <c r="D91">
        <v>7981.6366684866898</v>
      </c>
      <c r="E91">
        <v>45</v>
      </c>
      <c r="F91">
        <v>45</v>
      </c>
      <c r="K91">
        <v>0.45259431454134202</v>
      </c>
      <c r="L91">
        <v>1.4903987264051799</v>
      </c>
      <c r="M91">
        <v>0.258741492548903</v>
      </c>
      <c r="N91">
        <v>12007</v>
      </c>
      <c r="T91">
        <v>8189265</v>
      </c>
    </row>
    <row r="92" spans="1:21" x14ac:dyDescent="0.3">
      <c r="A92" s="1">
        <v>45382</v>
      </c>
      <c r="B92">
        <v>43</v>
      </c>
      <c r="C92">
        <v>1660.3552234143499</v>
      </c>
      <c r="D92">
        <v>2068.9095739945401</v>
      </c>
      <c r="E92">
        <v>8</v>
      </c>
      <c r="F92">
        <v>8</v>
      </c>
      <c r="K92">
        <v>0.39544008479742898</v>
      </c>
      <c r="L92">
        <v>1.7290868586117001</v>
      </c>
      <c r="M92">
        <v>0.26970504912142801</v>
      </c>
      <c r="N92">
        <v>3070</v>
      </c>
      <c r="T92">
        <v>1696444</v>
      </c>
    </row>
    <row r="93" spans="1:21" x14ac:dyDescent="0.3">
      <c r="A93" s="1">
        <v>45383</v>
      </c>
      <c r="B93">
        <v>163</v>
      </c>
      <c r="C93">
        <v>2035.1266850065299</v>
      </c>
      <c r="D93">
        <v>5892.18855232643</v>
      </c>
      <c r="E93">
        <v>67</v>
      </c>
      <c r="F93">
        <v>67</v>
      </c>
      <c r="K93">
        <v>0.54556009669096905</v>
      </c>
      <c r="L93">
        <v>1.76059628710148</v>
      </c>
      <c r="M93">
        <v>0.25011158278656997</v>
      </c>
      <c r="N93">
        <v>8931</v>
      </c>
      <c r="R93">
        <v>2734121</v>
      </c>
      <c r="T93">
        <v>5251945</v>
      </c>
      <c r="U93">
        <v>101582</v>
      </c>
    </row>
    <row r="94" spans="1:21" x14ac:dyDescent="0.3">
      <c r="A94" s="1">
        <v>45384</v>
      </c>
      <c r="B94">
        <v>98</v>
      </c>
      <c r="C94">
        <v>1953.53509749058</v>
      </c>
      <c r="D94">
        <v>3766.55132551212</v>
      </c>
      <c r="E94">
        <v>35</v>
      </c>
      <c r="F94">
        <v>35</v>
      </c>
      <c r="K94">
        <v>0.48085508559906198</v>
      </c>
      <c r="L94">
        <v>1.5195432577674499</v>
      </c>
      <c r="M94">
        <v>0.271860416072358</v>
      </c>
      <c r="N94">
        <v>5958</v>
      </c>
      <c r="R94">
        <v>1429863</v>
      </c>
      <c r="T94">
        <v>5424118</v>
      </c>
    </row>
    <row r="95" spans="1:21" x14ac:dyDescent="0.3">
      <c r="A95" s="1">
        <v>45385</v>
      </c>
      <c r="B95">
        <v>100</v>
      </c>
      <c r="C95">
        <v>1947.78442956653</v>
      </c>
      <c r="D95">
        <v>4259.5833151839797</v>
      </c>
      <c r="E95">
        <v>49</v>
      </c>
      <c r="F95">
        <v>49</v>
      </c>
      <c r="K95">
        <v>0.72238850809571797</v>
      </c>
      <c r="L95">
        <v>1.6355298289058799</v>
      </c>
      <c r="M95">
        <v>0.25011158278656997</v>
      </c>
      <c r="N95">
        <v>6294</v>
      </c>
      <c r="R95">
        <v>1667426</v>
      </c>
      <c r="T95">
        <v>5066869</v>
      </c>
    </row>
    <row r="96" spans="1:21" x14ac:dyDescent="0.3">
      <c r="A96" s="1">
        <v>45386</v>
      </c>
      <c r="B96">
        <v>88</v>
      </c>
      <c r="C96">
        <v>1832.37786353008</v>
      </c>
      <c r="D96">
        <v>2709.4588354543198</v>
      </c>
      <c r="E96">
        <v>41</v>
      </c>
      <c r="F96">
        <v>41</v>
      </c>
      <c r="K96">
        <v>0.75913871840907199</v>
      </c>
      <c r="L96">
        <v>1.7193794199366601</v>
      </c>
      <c r="M96">
        <v>0.25011158278656997</v>
      </c>
      <c r="N96">
        <v>4065</v>
      </c>
      <c r="R96">
        <v>2205006</v>
      </c>
      <c r="T96">
        <v>2419700</v>
      </c>
    </row>
    <row r="97" spans="1:21" x14ac:dyDescent="0.3">
      <c r="A97" s="1">
        <v>45387</v>
      </c>
      <c r="B97">
        <v>140</v>
      </c>
      <c r="C97">
        <v>2019.3594531026899</v>
      </c>
      <c r="D97">
        <v>7197.1960725742902</v>
      </c>
      <c r="E97">
        <v>79</v>
      </c>
      <c r="F97">
        <v>79</v>
      </c>
      <c r="K97">
        <v>0.83141630063048999</v>
      </c>
      <c r="L97">
        <v>2.2357109077817698</v>
      </c>
      <c r="M97">
        <v>0.260047105367822</v>
      </c>
      <c r="N97">
        <v>10444</v>
      </c>
      <c r="R97">
        <v>1794776</v>
      </c>
      <c r="T97">
        <v>6214111</v>
      </c>
    </row>
    <row r="98" spans="1:21" x14ac:dyDescent="0.3">
      <c r="A98" s="1">
        <v>45388</v>
      </c>
      <c r="B98">
        <v>113</v>
      </c>
      <c r="C98">
        <v>1975.46533615044</v>
      </c>
      <c r="D98">
        <v>4396.5424257284503</v>
      </c>
      <c r="E98">
        <v>58</v>
      </c>
      <c r="F98">
        <v>58</v>
      </c>
      <c r="K98">
        <v>0.71983134870399701</v>
      </c>
      <c r="L98">
        <v>1.55200871195373</v>
      </c>
      <c r="M98">
        <v>0.25011158278656997</v>
      </c>
      <c r="N98">
        <v>6581</v>
      </c>
      <c r="R98">
        <v>2106133</v>
      </c>
      <c r="T98">
        <v>5093939</v>
      </c>
    </row>
    <row r="99" spans="1:21" x14ac:dyDescent="0.3">
      <c r="A99" s="1">
        <v>45389</v>
      </c>
      <c r="B99">
        <v>90</v>
      </c>
      <c r="C99">
        <v>1799.88642160218</v>
      </c>
      <c r="D99">
        <v>3549.09755266402</v>
      </c>
      <c r="E99">
        <v>29</v>
      </c>
      <c r="F99">
        <v>29</v>
      </c>
      <c r="K99">
        <v>0.52494850896075296</v>
      </c>
      <c r="L99">
        <v>1.60652276665958</v>
      </c>
      <c r="M99">
        <v>0.25011158278656997</v>
      </c>
      <c r="N99">
        <v>5713</v>
      </c>
      <c r="R99">
        <v>1189845</v>
      </c>
      <c r="T99">
        <v>2925674</v>
      </c>
    </row>
    <row r="100" spans="1:21" x14ac:dyDescent="0.3">
      <c r="A100" s="1">
        <v>45390</v>
      </c>
      <c r="B100">
        <v>97</v>
      </c>
      <c r="C100">
        <v>1836.4245200937801</v>
      </c>
      <c r="D100">
        <v>4513.3642328568603</v>
      </c>
      <c r="E100">
        <v>39</v>
      </c>
      <c r="F100">
        <v>39</v>
      </c>
      <c r="K100">
        <v>0.44446678997703098</v>
      </c>
      <c r="L100">
        <v>1.55944042341571</v>
      </c>
      <c r="M100">
        <v>0.25011158278656997</v>
      </c>
      <c r="N100">
        <v>6834</v>
      </c>
      <c r="R100">
        <v>998897</v>
      </c>
      <c r="T100">
        <v>3784936</v>
      </c>
    </row>
    <row r="101" spans="1:21" x14ac:dyDescent="0.3">
      <c r="A101" s="1">
        <v>45391</v>
      </c>
      <c r="B101">
        <v>184</v>
      </c>
      <c r="C101">
        <v>2128.5361014831701</v>
      </c>
      <c r="D101">
        <v>9809.2024040259803</v>
      </c>
      <c r="E101">
        <v>78</v>
      </c>
      <c r="F101">
        <v>78</v>
      </c>
      <c r="K101">
        <v>0.65832720622737995</v>
      </c>
      <c r="L101">
        <v>2.0092536389824001</v>
      </c>
      <c r="M101">
        <v>0.25011158278656997</v>
      </c>
      <c r="N101">
        <v>14103</v>
      </c>
      <c r="R101">
        <v>975911</v>
      </c>
      <c r="T101">
        <v>9047814</v>
      </c>
    </row>
    <row r="102" spans="1:21" x14ac:dyDescent="0.3">
      <c r="A102" s="1">
        <v>45392</v>
      </c>
      <c r="B102">
        <v>142</v>
      </c>
      <c r="C102">
        <v>1950.7333828309399</v>
      </c>
      <c r="D102">
        <v>6447.5038072375601</v>
      </c>
      <c r="E102">
        <v>28</v>
      </c>
      <c r="F102">
        <v>28</v>
      </c>
      <c r="K102">
        <v>0.51585902563916597</v>
      </c>
      <c r="L102">
        <v>1.8371026098894101</v>
      </c>
      <c r="M102">
        <v>0.24885201843049301</v>
      </c>
      <c r="N102">
        <v>9634</v>
      </c>
      <c r="T102">
        <v>6903453</v>
      </c>
    </row>
    <row r="103" spans="1:21" x14ac:dyDescent="0.3">
      <c r="A103" s="1">
        <v>45393</v>
      </c>
      <c r="B103">
        <v>112</v>
      </c>
      <c r="C103">
        <v>1730.26671297441</v>
      </c>
      <c r="D103">
        <v>5949.0666398819503</v>
      </c>
      <c r="E103">
        <v>36</v>
      </c>
      <c r="F103">
        <v>36</v>
      </c>
      <c r="K103">
        <v>0.66832681063363897</v>
      </c>
      <c r="L103">
        <v>1.5917025545377901</v>
      </c>
      <c r="M103">
        <v>0.26942355876926999</v>
      </c>
      <c r="N103">
        <v>8788</v>
      </c>
      <c r="T103">
        <v>2950084</v>
      </c>
    </row>
    <row r="104" spans="1:21" x14ac:dyDescent="0.3">
      <c r="A104" s="1">
        <v>45394</v>
      </c>
      <c r="B104">
        <v>164</v>
      </c>
      <c r="C104">
        <v>1817.84051746154</v>
      </c>
      <c r="D104">
        <v>6844.3681986048095</v>
      </c>
      <c r="E104">
        <v>50</v>
      </c>
      <c r="F104">
        <v>50</v>
      </c>
      <c r="K104">
        <v>0.48674466760232399</v>
      </c>
      <c r="L104">
        <v>1.7230778069608299</v>
      </c>
      <c r="M104">
        <v>0.30448366600104099</v>
      </c>
      <c r="N104">
        <v>10254</v>
      </c>
      <c r="R104">
        <v>1098409</v>
      </c>
      <c r="T104">
        <v>3345437</v>
      </c>
    </row>
    <row r="105" spans="1:21" x14ac:dyDescent="0.3">
      <c r="A105" s="1">
        <v>45395</v>
      </c>
      <c r="B105">
        <v>182</v>
      </c>
      <c r="C105">
        <v>1844.10065600705</v>
      </c>
      <c r="D105">
        <v>6916.3262082812798</v>
      </c>
      <c r="E105">
        <v>39</v>
      </c>
      <c r="F105">
        <v>39</v>
      </c>
      <c r="K105">
        <v>0.45570301048442402</v>
      </c>
      <c r="L105">
        <v>1.5145058658783801</v>
      </c>
      <c r="M105">
        <v>0.25011158278656997</v>
      </c>
      <c r="N105">
        <v>10460</v>
      </c>
      <c r="R105">
        <v>1058574</v>
      </c>
      <c r="T105">
        <v>3858940</v>
      </c>
    </row>
    <row r="106" spans="1:21" x14ac:dyDescent="0.3">
      <c r="A106" s="1">
        <v>45396</v>
      </c>
      <c r="B106">
        <v>191</v>
      </c>
      <c r="C106">
        <v>2040.9425625875299</v>
      </c>
      <c r="D106">
        <v>6829.9714782052297</v>
      </c>
      <c r="E106">
        <v>52</v>
      </c>
      <c r="F106">
        <v>51</v>
      </c>
      <c r="K106">
        <v>0.54782295519271496</v>
      </c>
      <c r="L106">
        <v>1.9649195744654799</v>
      </c>
      <c r="M106">
        <v>0.25011158278656997</v>
      </c>
      <c r="N106">
        <v>10446</v>
      </c>
      <c r="R106">
        <v>2191881</v>
      </c>
      <c r="T106">
        <v>6176340</v>
      </c>
    </row>
    <row r="107" spans="1:21" x14ac:dyDescent="0.3">
      <c r="A107" s="1">
        <v>45397</v>
      </c>
      <c r="B107">
        <v>189</v>
      </c>
      <c r="C107">
        <v>1940.27091678484</v>
      </c>
      <c r="D107">
        <v>8136.7541955991201</v>
      </c>
      <c r="E107">
        <v>23</v>
      </c>
      <c r="F107">
        <v>23</v>
      </c>
      <c r="K107">
        <v>0.481784309845596</v>
      </c>
      <c r="L107">
        <v>1.8349707775834301</v>
      </c>
      <c r="M107">
        <v>0.25011158278656997</v>
      </c>
      <c r="N107">
        <v>12373</v>
      </c>
      <c r="T107">
        <v>6715845</v>
      </c>
    </row>
    <row r="108" spans="1:21" x14ac:dyDescent="0.3">
      <c r="A108" s="1">
        <v>45398</v>
      </c>
      <c r="B108">
        <v>365</v>
      </c>
      <c r="C108">
        <v>2443.7294607139802</v>
      </c>
      <c r="D108">
        <v>16245.395246894201</v>
      </c>
      <c r="E108">
        <v>76</v>
      </c>
      <c r="F108">
        <v>75</v>
      </c>
      <c r="K108">
        <v>0.575144193429724</v>
      </c>
      <c r="L108">
        <v>1.76518949642601</v>
      </c>
      <c r="M108">
        <v>0.25011158278656997</v>
      </c>
      <c r="N108">
        <v>24575</v>
      </c>
      <c r="R108">
        <v>727094</v>
      </c>
      <c r="T108">
        <v>14965979</v>
      </c>
    </row>
    <row r="109" spans="1:21" x14ac:dyDescent="0.3">
      <c r="A109" s="1">
        <v>45399</v>
      </c>
      <c r="B109">
        <v>317</v>
      </c>
      <c r="C109">
        <v>2474.3430017455298</v>
      </c>
      <c r="D109">
        <v>15011.596932539</v>
      </c>
      <c r="E109">
        <v>116</v>
      </c>
      <c r="F109">
        <v>113</v>
      </c>
      <c r="K109">
        <v>0.65635564302087002</v>
      </c>
      <c r="L109">
        <v>1.9072488743132301</v>
      </c>
      <c r="M109">
        <v>0.247287269395779</v>
      </c>
      <c r="N109">
        <v>22429</v>
      </c>
      <c r="R109">
        <v>2835632</v>
      </c>
      <c r="T109">
        <v>13068382</v>
      </c>
      <c r="U109">
        <v>83391</v>
      </c>
    </row>
    <row r="110" spans="1:21" x14ac:dyDescent="0.3">
      <c r="A110" s="1">
        <v>45400</v>
      </c>
      <c r="B110">
        <v>357</v>
      </c>
      <c r="C110">
        <v>2411.8676630059399</v>
      </c>
      <c r="D110">
        <v>16674.695757477199</v>
      </c>
      <c r="E110">
        <v>69</v>
      </c>
      <c r="F110">
        <v>69</v>
      </c>
      <c r="K110">
        <v>0.65616854478086795</v>
      </c>
      <c r="L110">
        <v>1.7423823698268599</v>
      </c>
      <c r="M110">
        <v>0.25011158278656997</v>
      </c>
      <c r="N110">
        <v>24893</v>
      </c>
      <c r="R110">
        <v>537394</v>
      </c>
      <c r="T110">
        <v>14597563</v>
      </c>
    </row>
    <row r="111" spans="1:21" x14ac:dyDescent="0.3">
      <c r="A111" s="1">
        <v>45401</v>
      </c>
      <c r="B111">
        <v>36</v>
      </c>
      <c r="C111">
        <v>1655.0635681235899</v>
      </c>
      <c r="D111">
        <v>2070.74728979061</v>
      </c>
      <c r="E111">
        <v>16</v>
      </c>
      <c r="F111">
        <v>16</v>
      </c>
      <c r="K111">
        <v>0.34896216313702699</v>
      </c>
      <c r="L111">
        <v>1.4373408934060601</v>
      </c>
      <c r="M111">
        <v>0.26225746049381599</v>
      </c>
      <c r="N111">
        <v>3060</v>
      </c>
      <c r="T111">
        <v>1601554</v>
      </c>
    </row>
    <row r="112" spans="1:21" x14ac:dyDescent="0.3">
      <c r="A112" s="1">
        <v>45402</v>
      </c>
      <c r="B112">
        <v>29</v>
      </c>
      <c r="C112">
        <v>1657.6569353223199</v>
      </c>
      <c r="D112">
        <v>1309.7392689123601</v>
      </c>
      <c r="E112">
        <v>1</v>
      </c>
      <c r="F112">
        <v>1</v>
      </c>
      <c r="K112">
        <v>0.497212959256911</v>
      </c>
      <c r="L112">
        <v>1.51035011344736</v>
      </c>
      <c r="M112">
        <v>0.271860416072358</v>
      </c>
      <c r="N112">
        <v>2167</v>
      </c>
      <c r="T112">
        <v>1648060</v>
      </c>
    </row>
    <row r="113" spans="1:21" x14ac:dyDescent="0.3">
      <c r="A113" s="1">
        <v>45403</v>
      </c>
      <c r="B113">
        <v>2</v>
      </c>
      <c r="C113">
        <v>1565.75</v>
      </c>
      <c r="D113">
        <v>130.49299971473201</v>
      </c>
      <c r="K113">
        <v>0.315838981017172</v>
      </c>
      <c r="L113">
        <v>0.32623249242254099</v>
      </c>
      <c r="M113">
        <v>0.271860416072358</v>
      </c>
      <c r="N113">
        <v>282</v>
      </c>
    </row>
    <row r="114" spans="1:21" x14ac:dyDescent="0.3">
      <c r="A114" s="1">
        <v>45404</v>
      </c>
      <c r="B114">
        <v>97</v>
      </c>
      <c r="C114">
        <v>1904.6555375205</v>
      </c>
      <c r="D114">
        <v>5033.5589322153801</v>
      </c>
      <c r="E114">
        <v>44</v>
      </c>
      <c r="F114">
        <v>44</v>
      </c>
      <c r="K114">
        <v>0.624378189633362</v>
      </c>
      <c r="L114">
        <v>1.67586041537987</v>
      </c>
      <c r="M114">
        <v>0.26741072199884403</v>
      </c>
      <c r="N114">
        <v>7428</v>
      </c>
      <c r="R114">
        <v>813710</v>
      </c>
      <c r="T114">
        <v>5206742</v>
      </c>
    </row>
    <row r="115" spans="1:21" x14ac:dyDescent="0.3">
      <c r="A115" s="1">
        <v>45405</v>
      </c>
      <c r="B115">
        <v>141</v>
      </c>
      <c r="C115">
        <v>2019.25591547318</v>
      </c>
      <c r="D115">
        <v>6277.8621878599897</v>
      </c>
      <c r="E115">
        <v>44</v>
      </c>
      <c r="F115">
        <v>44</v>
      </c>
      <c r="K115">
        <v>0.64562753059311795</v>
      </c>
      <c r="L115">
        <v>1.7496536734352</v>
      </c>
      <c r="M115">
        <v>0.245343717096866</v>
      </c>
      <c r="N115">
        <v>9635</v>
      </c>
      <c r="R115">
        <v>1276340</v>
      </c>
      <c r="T115">
        <v>6766845</v>
      </c>
    </row>
    <row r="116" spans="1:21" x14ac:dyDescent="0.3">
      <c r="A116" s="1">
        <v>45406</v>
      </c>
      <c r="B116">
        <v>87</v>
      </c>
      <c r="C116">
        <v>1798.0341412814701</v>
      </c>
      <c r="D116">
        <v>3687.7377873126302</v>
      </c>
      <c r="E116">
        <v>22</v>
      </c>
      <c r="F116">
        <v>22</v>
      </c>
      <c r="K116">
        <v>0.53052359386306502</v>
      </c>
      <c r="L116">
        <v>1.5069277073379601</v>
      </c>
      <c r="M116">
        <v>0.26007648201105998</v>
      </c>
      <c r="N116">
        <v>5579</v>
      </c>
      <c r="R116">
        <v>699051</v>
      </c>
      <c r="T116">
        <v>3417477</v>
      </c>
    </row>
    <row r="117" spans="1:21" x14ac:dyDescent="0.3">
      <c r="A117" s="1">
        <v>45407</v>
      </c>
      <c r="B117">
        <v>95</v>
      </c>
      <c r="C117">
        <v>1850.5960893172401</v>
      </c>
      <c r="D117">
        <v>4428.0109623901799</v>
      </c>
      <c r="E117">
        <v>34</v>
      </c>
      <c r="F117">
        <v>34</v>
      </c>
      <c r="K117">
        <v>0.69147267645036703</v>
      </c>
      <c r="L117">
        <v>1.72188778802534</v>
      </c>
      <c r="M117">
        <v>0.25930887649888701</v>
      </c>
      <c r="N117">
        <v>6592</v>
      </c>
      <c r="R117">
        <v>765913</v>
      </c>
      <c r="T117">
        <v>4288486</v>
      </c>
    </row>
    <row r="118" spans="1:21" x14ac:dyDescent="0.3">
      <c r="A118" s="1">
        <v>45408</v>
      </c>
      <c r="B118">
        <v>65</v>
      </c>
      <c r="C118">
        <v>1727.52643276866</v>
      </c>
      <c r="D118">
        <v>3825.5788220546501</v>
      </c>
      <c r="E118">
        <v>16</v>
      </c>
      <c r="F118">
        <v>16</v>
      </c>
      <c r="K118">
        <v>0.62863600993329105</v>
      </c>
      <c r="L118">
        <v>1.64326090860392</v>
      </c>
      <c r="M118">
        <v>0.26824432791060598</v>
      </c>
      <c r="N118">
        <v>5720</v>
      </c>
      <c r="T118">
        <v>2900946</v>
      </c>
    </row>
    <row r="119" spans="1:21" x14ac:dyDescent="0.3">
      <c r="A119" s="1">
        <v>45409</v>
      </c>
      <c r="B119">
        <v>210</v>
      </c>
      <c r="C119">
        <v>2293.2523037511201</v>
      </c>
      <c r="D119">
        <v>8834.9063836639998</v>
      </c>
      <c r="E119">
        <v>94</v>
      </c>
      <c r="F119">
        <v>94</v>
      </c>
      <c r="K119">
        <v>0.663409260611595</v>
      </c>
      <c r="L119">
        <v>1.67768716984333</v>
      </c>
      <c r="M119">
        <v>0.28961364991487398</v>
      </c>
      <c r="N119">
        <v>13001</v>
      </c>
      <c r="R119">
        <v>2963351</v>
      </c>
      <c r="T119">
        <v>9470062</v>
      </c>
      <c r="U119">
        <v>177015</v>
      </c>
    </row>
    <row r="120" spans="1:21" x14ac:dyDescent="0.3">
      <c r="A120" s="1">
        <v>45410</v>
      </c>
      <c r="B120">
        <v>118</v>
      </c>
      <c r="C120">
        <v>1948.91322133313</v>
      </c>
      <c r="D120">
        <v>3665.9483794623102</v>
      </c>
      <c r="E120">
        <v>60</v>
      </c>
      <c r="F120">
        <v>60</v>
      </c>
      <c r="K120">
        <v>0.53709561725170596</v>
      </c>
      <c r="L120">
        <v>1.60628149893613</v>
      </c>
      <c r="M120">
        <v>0.271860416072358</v>
      </c>
      <c r="N120">
        <v>5477</v>
      </c>
      <c r="R120">
        <v>2821105</v>
      </c>
      <c r="T120">
        <v>3852982</v>
      </c>
    </row>
    <row r="121" spans="1:21" x14ac:dyDescent="0.3">
      <c r="A121" s="1">
        <v>45411</v>
      </c>
      <c r="B121">
        <v>74</v>
      </c>
      <c r="C121">
        <v>1810.02498611435</v>
      </c>
      <c r="D121">
        <v>2864.7928249967599</v>
      </c>
      <c r="E121">
        <v>31</v>
      </c>
      <c r="F121">
        <v>31</v>
      </c>
      <c r="K121">
        <v>0.39594226336872201</v>
      </c>
      <c r="L121">
        <v>1.6355744831052399</v>
      </c>
      <c r="M121">
        <v>0.24347054557348299</v>
      </c>
      <c r="N121">
        <v>4329</v>
      </c>
      <c r="R121">
        <v>1208254</v>
      </c>
      <c r="T121">
        <v>3087784</v>
      </c>
    </row>
    <row r="122" spans="1:21" x14ac:dyDescent="0.3">
      <c r="A122" s="1">
        <v>45412</v>
      </c>
      <c r="B122">
        <v>137</v>
      </c>
      <c r="C122">
        <v>1975.9758196606299</v>
      </c>
      <c r="D122">
        <v>5378.11148452416</v>
      </c>
      <c r="E122">
        <v>45</v>
      </c>
      <c r="F122">
        <v>45</v>
      </c>
      <c r="K122">
        <v>0.53899395865334698</v>
      </c>
      <c r="L122">
        <v>1.5119015668425699</v>
      </c>
      <c r="M122">
        <v>0.247535506215497</v>
      </c>
      <c r="N122">
        <v>8220</v>
      </c>
      <c r="R122">
        <v>1535533</v>
      </c>
      <c r="T122">
        <v>5713483</v>
      </c>
    </row>
    <row r="123" spans="1:21" x14ac:dyDescent="0.3">
      <c r="A123" s="1">
        <v>45413</v>
      </c>
      <c r="B123">
        <v>114</v>
      </c>
      <c r="C123">
        <v>1925.64043423613</v>
      </c>
      <c r="D123">
        <v>4430.6801646837303</v>
      </c>
      <c r="E123">
        <v>47</v>
      </c>
      <c r="F123">
        <v>47</v>
      </c>
      <c r="K123">
        <v>0.52321466934106498</v>
      </c>
      <c r="L123">
        <v>1.9956048243468001</v>
      </c>
      <c r="M123">
        <v>0.26098599942946399</v>
      </c>
      <c r="N123">
        <v>6741</v>
      </c>
      <c r="R123">
        <v>1800474</v>
      </c>
      <c r="T123">
        <v>4527459</v>
      </c>
    </row>
    <row r="124" spans="1:21" x14ac:dyDescent="0.3">
      <c r="A124" s="1">
        <v>45414</v>
      </c>
      <c r="B124">
        <v>65</v>
      </c>
      <c r="C124">
        <v>1742.07090522116</v>
      </c>
      <c r="D124">
        <v>2409.6753306624801</v>
      </c>
      <c r="E124">
        <v>26</v>
      </c>
      <c r="F124">
        <v>26</v>
      </c>
      <c r="K124">
        <v>0.86522341617477805</v>
      </c>
      <c r="L124">
        <v>1.6752564938519201</v>
      </c>
      <c r="M124">
        <v>0.28544209501183998</v>
      </c>
      <c r="N124">
        <v>3698</v>
      </c>
      <c r="R124">
        <v>849148</v>
      </c>
      <c r="T124">
        <v>2253394</v>
      </c>
    </row>
    <row r="125" spans="1:21" x14ac:dyDescent="0.3">
      <c r="A125" s="1">
        <v>45415</v>
      </c>
      <c r="B125">
        <v>97</v>
      </c>
      <c r="C125">
        <v>1934.7338010016999</v>
      </c>
      <c r="D125">
        <v>4125.3945642537301</v>
      </c>
      <c r="E125">
        <v>40</v>
      </c>
      <c r="F125">
        <v>40</v>
      </c>
      <c r="K125">
        <v>0.70306414427542596</v>
      </c>
      <c r="L125">
        <v>1.4861252962606799</v>
      </c>
      <c r="M125">
        <v>0.247952320289062</v>
      </c>
      <c r="N125">
        <v>6362</v>
      </c>
      <c r="R125">
        <v>1584186</v>
      </c>
      <c r="T125">
        <v>4921894</v>
      </c>
    </row>
    <row r="126" spans="1:21" x14ac:dyDescent="0.3">
      <c r="A126" s="1">
        <v>45416</v>
      </c>
      <c r="B126">
        <v>107</v>
      </c>
      <c r="C126">
        <v>1794.2977582020801</v>
      </c>
      <c r="D126">
        <v>4194.9036130470304</v>
      </c>
      <c r="E126">
        <v>46</v>
      </c>
      <c r="F126">
        <v>46</v>
      </c>
      <c r="K126">
        <v>0.56928579071188101</v>
      </c>
      <c r="L126">
        <v>1.6351771549456999</v>
      </c>
      <c r="M126">
        <v>0.26098599942946399</v>
      </c>
      <c r="N126">
        <v>6451</v>
      </c>
      <c r="R126">
        <v>1593104</v>
      </c>
      <c r="T126">
        <v>2394081</v>
      </c>
    </row>
    <row r="127" spans="1:21" x14ac:dyDescent="0.3">
      <c r="A127" s="1">
        <v>45417</v>
      </c>
      <c r="B127">
        <v>7</v>
      </c>
      <c r="C127">
        <v>1592.28099096354</v>
      </c>
      <c r="D127">
        <v>249.894094453712</v>
      </c>
      <c r="K127">
        <v>0.44962574398970601</v>
      </c>
      <c r="L127">
        <v>0.87022994817631605</v>
      </c>
      <c r="M127">
        <v>0.26098599942946399</v>
      </c>
      <c r="N127">
        <v>466</v>
      </c>
      <c r="T127">
        <v>475749</v>
      </c>
    </row>
    <row r="128" spans="1:21" x14ac:dyDescent="0.3">
      <c r="A128" s="1">
        <v>45418</v>
      </c>
      <c r="B128">
        <v>115</v>
      </c>
      <c r="C128">
        <v>1976.7474011833599</v>
      </c>
      <c r="D128">
        <v>4721.5640758719701</v>
      </c>
      <c r="E128">
        <v>43</v>
      </c>
      <c r="F128">
        <v>43</v>
      </c>
      <c r="K128">
        <v>0.66066933232983105</v>
      </c>
      <c r="L128">
        <v>1.57446778756965</v>
      </c>
      <c r="M128">
        <v>0.25011158278656997</v>
      </c>
      <c r="N128">
        <v>7195</v>
      </c>
      <c r="R128">
        <v>1731858</v>
      </c>
      <c r="T128">
        <v>5517303</v>
      </c>
    </row>
    <row r="129" spans="1:21" x14ac:dyDescent="0.3">
      <c r="A129" s="1">
        <v>45419</v>
      </c>
      <c r="B129">
        <v>71</v>
      </c>
      <c r="C129">
        <v>1757.04315437525</v>
      </c>
      <c r="D129">
        <v>2014.1602553663699</v>
      </c>
      <c r="E129">
        <v>28</v>
      </c>
      <c r="F129">
        <v>28</v>
      </c>
      <c r="K129">
        <v>0.56301421532481499</v>
      </c>
      <c r="L129">
        <v>1.4288124701862399</v>
      </c>
      <c r="M129">
        <v>0.28273483271525301</v>
      </c>
      <c r="N129">
        <v>3163</v>
      </c>
      <c r="R129">
        <v>1689798</v>
      </c>
      <c r="T129">
        <v>1622599</v>
      </c>
    </row>
    <row r="130" spans="1:21" x14ac:dyDescent="0.3">
      <c r="A130" s="1">
        <v>45420</v>
      </c>
      <c r="B130">
        <v>175</v>
      </c>
      <c r="C130">
        <v>2118.1132430611601</v>
      </c>
      <c r="D130">
        <v>9279.2129589931392</v>
      </c>
      <c r="E130">
        <v>73</v>
      </c>
      <c r="F130">
        <v>73</v>
      </c>
      <c r="K130">
        <v>0.61025355441409002</v>
      </c>
      <c r="L130">
        <v>1.67662325210327</v>
      </c>
      <c r="M130">
        <v>0.26098599942946399</v>
      </c>
      <c r="N130">
        <v>13426</v>
      </c>
      <c r="R130">
        <v>812334</v>
      </c>
      <c r="T130">
        <v>9035896</v>
      </c>
    </row>
    <row r="131" spans="1:21" x14ac:dyDescent="0.3">
      <c r="A131" s="1">
        <v>45421</v>
      </c>
      <c r="B131">
        <v>82</v>
      </c>
      <c r="C131">
        <v>1804.2173791927801</v>
      </c>
      <c r="D131">
        <v>3708.6522744173799</v>
      </c>
      <c r="E131">
        <v>23</v>
      </c>
      <c r="F131">
        <v>23</v>
      </c>
      <c r="K131">
        <v>0.53114445451265702</v>
      </c>
      <c r="L131">
        <v>1.4859332370471201</v>
      </c>
      <c r="M131">
        <v>0.26098599942946399</v>
      </c>
      <c r="N131">
        <v>5556</v>
      </c>
      <c r="R131">
        <v>664332</v>
      </c>
      <c r="T131">
        <v>3565496</v>
      </c>
    </row>
    <row r="132" spans="1:21" x14ac:dyDescent="0.3">
      <c r="A132" s="1">
        <v>45422</v>
      </c>
      <c r="B132">
        <v>194</v>
      </c>
      <c r="C132">
        <v>2175.2582612528099</v>
      </c>
      <c r="D132">
        <v>6462.2271022087398</v>
      </c>
      <c r="E132">
        <v>93</v>
      </c>
      <c r="F132">
        <v>93</v>
      </c>
      <c r="K132">
        <v>0.50719513128093596</v>
      </c>
      <c r="L132">
        <v>1.7164827747656899</v>
      </c>
      <c r="M132">
        <v>0.25011158278656997</v>
      </c>
      <c r="N132">
        <v>9536</v>
      </c>
      <c r="R132">
        <v>3832563</v>
      </c>
      <c r="T132">
        <v>6829747</v>
      </c>
    </row>
    <row r="133" spans="1:21" x14ac:dyDescent="0.3">
      <c r="A133" s="1">
        <v>45423</v>
      </c>
      <c r="B133">
        <v>5</v>
      </c>
      <c r="C133">
        <v>1618.75443060763</v>
      </c>
      <c r="D133">
        <v>300.266221293667</v>
      </c>
      <c r="K133">
        <v>0.44357523732231302</v>
      </c>
      <c r="L133">
        <v>1.1130081998378101</v>
      </c>
      <c r="M133">
        <v>0.25011158278656997</v>
      </c>
      <c r="N133">
        <v>752</v>
      </c>
      <c r="T133">
        <v>950466</v>
      </c>
    </row>
    <row r="134" spans="1:21" x14ac:dyDescent="0.3">
      <c r="A134" s="1">
        <v>45424</v>
      </c>
      <c r="B134">
        <v>10</v>
      </c>
      <c r="C134">
        <v>1622.0598393344901</v>
      </c>
      <c r="D134">
        <v>702.165952889339</v>
      </c>
      <c r="E134">
        <v>5</v>
      </c>
      <c r="F134">
        <v>5</v>
      </c>
      <c r="K134">
        <v>0.56675829854122906</v>
      </c>
      <c r="L134">
        <v>1.4712873082266</v>
      </c>
      <c r="M134">
        <v>0.26098599942946399</v>
      </c>
      <c r="N134">
        <v>1274</v>
      </c>
      <c r="T134">
        <v>1009738</v>
      </c>
    </row>
    <row r="135" spans="1:21" x14ac:dyDescent="0.3">
      <c r="A135" s="1">
        <v>45425</v>
      </c>
      <c r="B135">
        <v>76</v>
      </c>
      <c r="C135">
        <v>1807.8317859988999</v>
      </c>
      <c r="D135">
        <v>2108.2764857418802</v>
      </c>
      <c r="E135">
        <v>40</v>
      </c>
      <c r="F135">
        <v>40</v>
      </c>
      <c r="K135">
        <v>0.50691333265476402</v>
      </c>
      <c r="L135">
        <v>1.5380634008691401</v>
      </c>
      <c r="M135">
        <v>0.25011158278656997</v>
      </c>
      <c r="N135">
        <v>3473</v>
      </c>
      <c r="R135">
        <v>2159306</v>
      </c>
      <c r="T135">
        <v>2031084</v>
      </c>
    </row>
    <row r="136" spans="1:21" x14ac:dyDescent="0.3">
      <c r="A136" s="1">
        <v>45426</v>
      </c>
      <c r="B136">
        <v>76</v>
      </c>
      <c r="C136">
        <v>1816.4378180424701</v>
      </c>
      <c r="D136">
        <v>2568.5264162061499</v>
      </c>
      <c r="E136">
        <v>26</v>
      </c>
      <c r="F136">
        <v>26</v>
      </c>
      <c r="K136">
        <v>0.44343014953519</v>
      </c>
      <c r="L136">
        <v>1.5059031542306101</v>
      </c>
      <c r="M136">
        <v>0.246634256563009</v>
      </c>
      <c r="N136">
        <v>3968</v>
      </c>
      <c r="R136">
        <v>1092462</v>
      </c>
      <c r="T136">
        <v>3129798</v>
      </c>
      <c r="U136">
        <v>85956</v>
      </c>
    </row>
    <row r="137" spans="1:21" x14ac:dyDescent="0.3">
      <c r="A137" s="1">
        <v>45427</v>
      </c>
      <c r="B137">
        <v>1</v>
      </c>
      <c r="C137">
        <v>1582.4416070585501</v>
      </c>
      <c r="D137">
        <v>117.002837715479</v>
      </c>
      <c r="K137">
        <v>0.43295982493792901</v>
      </c>
      <c r="L137">
        <v>1.5114014499545601</v>
      </c>
      <c r="M137">
        <v>0.26098599942946399</v>
      </c>
      <c r="N137">
        <v>332</v>
      </c>
      <c r="T137">
        <v>299311</v>
      </c>
    </row>
    <row r="138" spans="1:21" x14ac:dyDescent="0.3">
      <c r="A138" s="1">
        <v>45428</v>
      </c>
      <c r="B138">
        <v>4</v>
      </c>
      <c r="C138">
        <v>1585.87834182856</v>
      </c>
      <c r="D138">
        <v>268.18568957344399</v>
      </c>
      <c r="K138">
        <v>0.43924964971817498</v>
      </c>
      <c r="L138">
        <v>1.55900975990566</v>
      </c>
      <c r="M138">
        <v>0.271860416072358</v>
      </c>
      <c r="N138">
        <v>508</v>
      </c>
      <c r="T138">
        <v>360938</v>
      </c>
    </row>
    <row r="139" spans="1:21" x14ac:dyDescent="0.3">
      <c r="A139" s="1">
        <v>45429</v>
      </c>
      <c r="B139">
        <v>94</v>
      </c>
      <c r="C139">
        <v>1878.9882389767399</v>
      </c>
      <c r="D139">
        <v>3294.1835399968299</v>
      </c>
      <c r="E139">
        <v>39</v>
      </c>
      <c r="F139">
        <v>39</v>
      </c>
      <c r="K139">
        <v>0.52229586438740305</v>
      </c>
      <c r="L139">
        <v>1.49327638211817</v>
      </c>
      <c r="M139">
        <v>0.24972079860545601</v>
      </c>
      <c r="N139">
        <v>5282</v>
      </c>
      <c r="R139">
        <v>1706083</v>
      </c>
      <c r="T139">
        <v>3791878</v>
      </c>
    </row>
    <row r="140" spans="1:21" x14ac:dyDescent="0.3">
      <c r="A140" s="1">
        <v>45430</v>
      </c>
      <c r="B140">
        <v>49</v>
      </c>
      <c r="C140">
        <v>1734.14646735923</v>
      </c>
      <c r="D140">
        <v>1917.7948917204701</v>
      </c>
      <c r="E140">
        <v>3</v>
      </c>
      <c r="F140">
        <v>3</v>
      </c>
      <c r="K140">
        <v>0.509318450384453</v>
      </c>
      <c r="L140">
        <v>1.3845803779822501</v>
      </c>
      <c r="M140">
        <v>0.25230067013516999</v>
      </c>
      <c r="N140">
        <v>3003</v>
      </c>
      <c r="T140">
        <v>3019656</v>
      </c>
    </row>
    <row r="141" spans="1:21" x14ac:dyDescent="0.3">
      <c r="A141" s="1">
        <v>45431</v>
      </c>
      <c r="B141">
        <v>5</v>
      </c>
      <c r="C141">
        <v>1580.2779717853</v>
      </c>
      <c r="D141">
        <v>236.929613556677</v>
      </c>
      <c r="E141">
        <v>1</v>
      </c>
      <c r="F141">
        <v>1</v>
      </c>
      <c r="K141">
        <v>0.403382900983485</v>
      </c>
      <c r="L141">
        <v>1.4140218876194399</v>
      </c>
      <c r="M141">
        <v>0.32623246588062499</v>
      </c>
      <c r="N141">
        <v>440</v>
      </c>
      <c r="T141">
        <v>260513</v>
      </c>
    </row>
    <row r="142" spans="1:21" x14ac:dyDescent="0.3">
      <c r="A142" s="1">
        <v>45432</v>
      </c>
      <c r="B142">
        <v>7</v>
      </c>
      <c r="C142">
        <v>1587.0216814814801</v>
      </c>
      <c r="D142">
        <v>484.14221066874597</v>
      </c>
      <c r="E142">
        <v>3</v>
      </c>
      <c r="F142">
        <v>3</v>
      </c>
      <c r="K142">
        <v>0.34091351019400201</v>
      </c>
      <c r="L142">
        <v>1.6182522168498601</v>
      </c>
      <c r="M142">
        <v>0.28110208691967298</v>
      </c>
      <c r="N142">
        <v>838</v>
      </c>
      <c r="T142">
        <v>381440</v>
      </c>
    </row>
    <row r="143" spans="1:21" x14ac:dyDescent="0.3">
      <c r="A143" s="1">
        <v>45433</v>
      </c>
      <c r="B143">
        <v>91</v>
      </c>
      <c r="C143">
        <v>1840.4165015988499</v>
      </c>
      <c r="D143">
        <v>3047.80027861496</v>
      </c>
      <c r="E143">
        <v>43</v>
      </c>
      <c r="F143">
        <v>43</v>
      </c>
      <c r="K143">
        <v>0.47923413763890199</v>
      </c>
      <c r="L143">
        <v>1.5373758815058201</v>
      </c>
      <c r="M143">
        <v>0.25011158278656997</v>
      </c>
      <c r="N143">
        <v>4741</v>
      </c>
      <c r="R143">
        <v>1902317</v>
      </c>
      <c r="T143">
        <v>2890298</v>
      </c>
    </row>
    <row r="144" spans="1:21" x14ac:dyDescent="0.3">
      <c r="A144" s="1">
        <v>45434</v>
      </c>
      <c r="B144">
        <v>1</v>
      </c>
      <c r="C144">
        <v>1574.3299425405</v>
      </c>
      <c r="D144">
        <v>114.18137475039001</v>
      </c>
      <c r="K144">
        <v>0.30587473639040502</v>
      </c>
      <c r="L144">
        <v>0.79168182287853195</v>
      </c>
      <c r="M144">
        <v>0.28273483271525301</v>
      </c>
      <c r="N144">
        <v>243</v>
      </c>
      <c r="T144">
        <v>153854</v>
      </c>
    </row>
    <row r="145" spans="1:20" x14ac:dyDescent="0.3">
      <c r="A145" s="1">
        <v>45435</v>
      </c>
      <c r="B145">
        <v>45</v>
      </c>
      <c r="C145">
        <v>1725.82885804744</v>
      </c>
      <c r="D145">
        <v>1844.8455581723799</v>
      </c>
      <c r="E145">
        <v>7</v>
      </c>
      <c r="F145">
        <v>7</v>
      </c>
      <c r="K145">
        <v>0.64688797753406302</v>
      </c>
      <c r="L145">
        <v>1.58682105773375</v>
      </c>
      <c r="M145">
        <v>0.256301985203019</v>
      </c>
      <c r="N145">
        <v>2989</v>
      </c>
      <c r="R145">
        <v>195768</v>
      </c>
      <c r="T145">
        <v>2661087</v>
      </c>
    </row>
    <row r="146" spans="1:20" x14ac:dyDescent="0.3">
      <c r="A146" s="1">
        <v>45436</v>
      </c>
      <c r="B146">
        <v>3</v>
      </c>
      <c r="C146">
        <v>1575.6054961545101</v>
      </c>
      <c r="D146">
        <v>161.81131964626701</v>
      </c>
      <c r="K146">
        <v>0.27606335136042098</v>
      </c>
      <c r="L146">
        <v>0.45571249926770102</v>
      </c>
      <c r="M146">
        <v>0.25830025708268101</v>
      </c>
      <c r="N146">
        <v>526</v>
      </c>
      <c r="T146">
        <v>176727</v>
      </c>
    </row>
    <row r="147" spans="1:20" x14ac:dyDescent="0.3">
      <c r="A147" s="1">
        <v>45437</v>
      </c>
      <c r="B147">
        <v>4</v>
      </c>
      <c r="C147">
        <v>1575.1804975057801</v>
      </c>
      <c r="D147">
        <v>231.27111334197701</v>
      </c>
      <c r="K147">
        <v>0.37591355314297697</v>
      </c>
      <c r="L147">
        <v>0.85493129238494303</v>
      </c>
      <c r="M147">
        <v>0.25011158278656997</v>
      </c>
      <c r="N147">
        <v>539</v>
      </c>
      <c r="T147">
        <v>169106</v>
      </c>
    </row>
    <row r="148" spans="1:20" x14ac:dyDescent="0.3">
      <c r="A148" s="1">
        <v>45438</v>
      </c>
      <c r="B148">
        <v>73</v>
      </c>
      <c r="C148">
        <v>1820.90028752221</v>
      </c>
      <c r="D148">
        <v>2435.3958228121701</v>
      </c>
      <c r="E148">
        <v>37</v>
      </c>
      <c r="F148">
        <v>37</v>
      </c>
      <c r="K148">
        <v>0.494937038674026</v>
      </c>
      <c r="L148">
        <v>1.9436856696409399</v>
      </c>
      <c r="M148">
        <v>0.26558909782747098</v>
      </c>
      <c r="N148">
        <v>3722</v>
      </c>
      <c r="R148">
        <v>1785141</v>
      </c>
      <c r="T148">
        <v>2665682</v>
      </c>
    </row>
    <row r="149" spans="1:20" x14ac:dyDescent="0.3">
      <c r="A149" s="1">
        <v>45439</v>
      </c>
      <c r="B149">
        <v>28</v>
      </c>
      <c r="C149">
        <v>1659.6828877432899</v>
      </c>
      <c r="D149">
        <v>1495.91724070191</v>
      </c>
      <c r="E149">
        <v>11</v>
      </c>
      <c r="F149">
        <v>11</v>
      </c>
      <c r="K149">
        <v>0.96844816997527305</v>
      </c>
      <c r="L149">
        <v>1.5094304220413799</v>
      </c>
      <c r="M149">
        <v>0.29360924935814697</v>
      </c>
      <c r="N149">
        <v>2167</v>
      </c>
      <c r="T149">
        <v>1684388</v>
      </c>
    </row>
    <row r="150" spans="1:20" x14ac:dyDescent="0.3">
      <c r="A150" s="1">
        <v>45440</v>
      </c>
      <c r="B150">
        <v>2</v>
      </c>
      <c r="C150">
        <v>1568.10692729166</v>
      </c>
      <c r="D150">
        <v>90.040169803165199</v>
      </c>
      <c r="K150">
        <v>0.65180286387120201</v>
      </c>
      <c r="L150">
        <v>0.698513732837305</v>
      </c>
      <c r="M150">
        <v>0.326232490495723</v>
      </c>
      <c r="N150">
        <v>306</v>
      </c>
      <c r="T150">
        <v>42264</v>
      </c>
    </row>
    <row r="151" spans="1:20" x14ac:dyDescent="0.3">
      <c r="A151" s="1">
        <v>45441</v>
      </c>
      <c r="B151">
        <v>201</v>
      </c>
      <c r="C151">
        <v>2151.8562785245899</v>
      </c>
      <c r="D151">
        <v>10895.8571122431</v>
      </c>
      <c r="E151">
        <v>83</v>
      </c>
      <c r="F151">
        <v>83</v>
      </c>
      <c r="K151">
        <v>0.49266968416905899</v>
      </c>
      <c r="L151">
        <v>1.6816229832993099</v>
      </c>
      <c r="M151">
        <v>0.26098599942946399</v>
      </c>
      <c r="N151">
        <v>15760</v>
      </c>
      <c r="R151">
        <v>658830</v>
      </c>
      <c r="T151">
        <v>9804220</v>
      </c>
    </row>
    <row r="152" spans="1:20" x14ac:dyDescent="0.3">
      <c r="A152" s="1">
        <v>45442</v>
      </c>
      <c r="B152">
        <v>34</v>
      </c>
      <c r="C152">
        <v>1671.4823681502901</v>
      </c>
      <c r="D152">
        <v>1919.23288596815</v>
      </c>
      <c r="E152">
        <v>11</v>
      </c>
      <c r="F152">
        <v>11</v>
      </c>
      <c r="K152">
        <v>0.468226670151836</v>
      </c>
      <c r="L152">
        <v>1.6402766432112299</v>
      </c>
      <c r="M152">
        <v>0.25011158278656997</v>
      </c>
      <c r="N152">
        <v>2899</v>
      </c>
      <c r="T152">
        <v>1895974</v>
      </c>
    </row>
    <row r="153" spans="1:20" x14ac:dyDescent="0.3">
      <c r="A153" s="1">
        <v>45443</v>
      </c>
      <c r="B153">
        <v>48</v>
      </c>
      <c r="C153">
        <v>1728.1286361742</v>
      </c>
      <c r="D153">
        <v>3211.7501681745998</v>
      </c>
      <c r="E153">
        <v>27</v>
      </c>
      <c r="F153">
        <v>26</v>
      </c>
      <c r="K153">
        <v>0.47743006106795399</v>
      </c>
      <c r="L153">
        <v>2.3705842958711898</v>
      </c>
      <c r="M153">
        <v>0.25011158278656997</v>
      </c>
      <c r="N153">
        <v>4701</v>
      </c>
      <c r="T153">
        <v>2911745</v>
      </c>
    </row>
    <row r="154" spans="1:20" x14ac:dyDescent="0.3">
      <c r="A154" s="1">
        <v>45444</v>
      </c>
      <c r="B154">
        <v>37</v>
      </c>
      <c r="C154">
        <v>1677.75398633282</v>
      </c>
      <c r="D154">
        <v>1986.9092448171</v>
      </c>
      <c r="E154">
        <v>10</v>
      </c>
      <c r="F154">
        <v>10</v>
      </c>
      <c r="K154">
        <v>0.59905600526890201</v>
      </c>
      <c r="L154">
        <v>1.3990561728194599</v>
      </c>
      <c r="M154">
        <v>0.25328310464576198</v>
      </c>
      <c r="N154">
        <v>3027</v>
      </c>
      <c r="T154">
        <v>2008437</v>
      </c>
    </row>
    <row r="155" spans="1:20" x14ac:dyDescent="0.3">
      <c r="A155" s="1">
        <v>45445</v>
      </c>
      <c r="B155">
        <v>78</v>
      </c>
      <c r="C155">
        <v>1717.36797693983</v>
      </c>
      <c r="D155">
        <v>3404.4717225335999</v>
      </c>
      <c r="E155">
        <v>13</v>
      </c>
      <c r="F155">
        <v>13</v>
      </c>
      <c r="K155">
        <v>0.37419333383953601</v>
      </c>
      <c r="L155">
        <v>1.48191389585051</v>
      </c>
      <c r="M155">
        <v>0.26098599942946399</v>
      </c>
      <c r="N155">
        <v>5179</v>
      </c>
      <c r="T155">
        <v>2718788</v>
      </c>
    </row>
    <row r="156" spans="1:20" x14ac:dyDescent="0.3">
      <c r="A156" s="1">
        <v>45446</v>
      </c>
      <c r="B156">
        <v>134</v>
      </c>
      <c r="C156">
        <v>1967.9743538763801</v>
      </c>
      <c r="D156">
        <v>8064.3137175333504</v>
      </c>
      <c r="E156">
        <v>54</v>
      </c>
      <c r="F156">
        <v>54</v>
      </c>
      <c r="K156">
        <v>0.50105849596157204</v>
      </c>
      <c r="L156">
        <v>1.52733067065256</v>
      </c>
      <c r="M156">
        <v>0.257898543669554</v>
      </c>
      <c r="N156">
        <v>11907</v>
      </c>
      <c r="T156">
        <v>7212616</v>
      </c>
    </row>
    <row r="157" spans="1:20" x14ac:dyDescent="0.3">
      <c r="A157" s="1">
        <v>45447</v>
      </c>
      <c r="B157">
        <v>98</v>
      </c>
      <c r="C157">
        <v>1892.7178761363</v>
      </c>
      <c r="D157">
        <v>4862.3012735564798</v>
      </c>
      <c r="E157">
        <v>26</v>
      </c>
      <c r="F157">
        <v>24</v>
      </c>
      <c r="K157">
        <v>0.66898613833929599</v>
      </c>
      <c r="L157">
        <v>2.05954330097375</v>
      </c>
      <c r="M157">
        <v>0.26098599942946399</v>
      </c>
      <c r="N157">
        <v>7406</v>
      </c>
      <c r="T157">
        <v>5863133</v>
      </c>
    </row>
    <row r="158" spans="1:20" x14ac:dyDescent="0.3">
      <c r="A158" s="1">
        <v>45448</v>
      </c>
      <c r="B158">
        <v>28</v>
      </c>
      <c r="C158">
        <v>1606.44845077788</v>
      </c>
      <c r="D158">
        <v>1635.2883354130699</v>
      </c>
      <c r="E158">
        <v>10</v>
      </c>
      <c r="F158">
        <v>10</v>
      </c>
      <c r="K158">
        <v>0.49812304953321102</v>
      </c>
      <c r="L158">
        <v>1.5227200640316001</v>
      </c>
      <c r="M158">
        <v>0.291106476436435</v>
      </c>
      <c r="N158">
        <v>2460</v>
      </c>
      <c r="T158">
        <v>729798</v>
      </c>
    </row>
    <row r="159" spans="1:20" x14ac:dyDescent="0.3">
      <c r="A159" s="1">
        <v>45449</v>
      </c>
      <c r="B159">
        <v>22</v>
      </c>
      <c r="C159">
        <v>1626.2114348591101</v>
      </c>
      <c r="D159">
        <v>1279.6244643341799</v>
      </c>
      <c r="E159">
        <v>7</v>
      </c>
      <c r="F159">
        <v>7</v>
      </c>
      <c r="K159">
        <v>0.338801661794702</v>
      </c>
      <c r="L159">
        <v>1.4429867907376901</v>
      </c>
      <c r="M159">
        <v>0.25011158278656997</v>
      </c>
      <c r="N159">
        <v>2119</v>
      </c>
      <c r="T159">
        <v>1084184</v>
      </c>
    </row>
    <row r="160" spans="1:20" x14ac:dyDescent="0.3">
      <c r="A160" s="1">
        <v>45450</v>
      </c>
      <c r="B160">
        <v>94</v>
      </c>
      <c r="C160">
        <v>1848.5652219337001</v>
      </c>
      <c r="D160">
        <v>3690.0670232114298</v>
      </c>
      <c r="E160">
        <v>24</v>
      </c>
      <c r="F160">
        <v>24</v>
      </c>
      <c r="K160">
        <v>0.63617737708922895</v>
      </c>
      <c r="L160">
        <v>1.52124393729186</v>
      </c>
      <c r="M160">
        <v>0.25011158278656997</v>
      </c>
      <c r="N160">
        <v>5746</v>
      </c>
      <c r="R160">
        <v>857971</v>
      </c>
      <c r="T160">
        <v>4153590</v>
      </c>
    </row>
    <row r="161" spans="1:20" x14ac:dyDescent="0.3">
      <c r="A161" s="1">
        <v>45451</v>
      </c>
      <c r="B161">
        <v>74</v>
      </c>
      <c r="C161">
        <v>1822.5091109620701</v>
      </c>
      <c r="D161">
        <v>2623.5749052237802</v>
      </c>
      <c r="E161">
        <v>48</v>
      </c>
      <c r="F161">
        <v>48</v>
      </c>
      <c r="K161">
        <v>0.75166672244214805</v>
      </c>
      <c r="L161">
        <v>1.51413104861548</v>
      </c>
      <c r="M161">
        <v>0.28273483271525301</v>
      </c>
      <c r="N161">
        <v>3958</v>
      </c>
      <c r="R161">
        <v>1928467</v>
      </c>
      <c r="T161">
        <v>2541210</v>
      </c>
    </row>
    <row r="162" spans="1:20" x14ac:dyDescent="0.3">
      <c r="A162" s="1">
        <v>45452</v>
      </c>
      <c r="B162">
        <v>12</v>
      </c>
      <c r="C162">
        <v>1605.04213190261</v>
      </c>
      <c r="D162">
        <v>526.20810194382796</v>
      </c>
      <c r="E162">
        <v>1</v>
      </c>
      <c r="F162">
        <v>1</v>
      </c>
      <c r="K162">
        <v>0.373766238368619</v>
      </c>
      <c r="L162">
        <v>1.2804801724712001</v>
      </c>
      <c r="M162">
        <v>0.25011158278656997</v>
      </c>
      <c r="N162">
        <v>915</v>
      </c>
      <c r="T162">
        <v>704580</v>
      </c>
    </row>
    <row r="163" spans="1:20" x14ac:dyDescent="0.3">
      <c r="A163" s="1">
        <v>45453</v>
      </c>
      <c r="B163">
        <v>58</v>
      </c>
      <c r="C163">
        <v>1750.2262486429299</v>
      </c>
      <c r="D163">
        <v>354.71028423309599</v>
      </c>
      <c r="E163">
        <v>49</v>
      </c>
      <c r="F163">
        <v>49</v>
      </c>
      <c r="K163">
        <v>0.34327563837529601</v>
      </c>
      <c r="L163">
        <v>1.25154994882826</v>
      </c>
      <c r="M163">
        <v>0.271860416072358</v>
      </c>
      <c r="N163">
        <v>665</v>
      </c>
      <c r="R163">
        <v>2997528</v>
      </c>
      <c r="T163">
        <v>101435</v>
      </c>
    </row>
    <row r="164" spans="1:20" x14ac:dyDescent="0.3">
      <c r="A164" s="1">
        <v>45454</v>
      </c>
      <c r="B164">
        <v>117</v>
      </c>
      <c r="C164">
        <v>1897.6177865525599</v>
      </c>
      <c r="D164">
        <v>4704.7617032115304</v>
      </c>
      <c r="E164">
        <v>37</v>
      </c>
      <c r="F164">
        <v>37</v>
      </c>
      <c r="K164">
        <v>0.86662332027367694</v>
      </c>
      <c r="L164">
        <v>1.67517452421505</v>
      </c>
      <c r="M164">
        <v>0.249554877157044</v>
      </c>
      <c r="N164">
        <v>7054</v>
      </c>
      <c r="R164">
        <v>1387369</v>
      </c>
      <c r="T164">
        <v>4466862</v>
      </c>
    </row>
    <row r="165" spans="1:20" x14ac:dyDescent="0.3">
      <c r="A165" s="1">
        <v>45455</v>
      </c>
      <c r="C165">
        <v>1565.75</v>
      </c>
      <c r="D165">
        <v>16.9640899629151</v>
      </c>
      <c r="K165">
        <v>0.25011158278656997</v>
      </c>
      <c r="L165">
        <v>0.25011158278656997</v>
      </c>
      <c r="M165">
        <v>0.25011158278656997</v>
      </c>
      <c r="N165">
        <v>88</v>
      </c>
    </row>
    <row r="166" spans="1:20" x14ac:dyDescent="0.3">
      <c r="A166" s="1">
        <v>45456</v>
      </c>
      <c r="B166">
        <v>6</v>
      </c>
      <c r="C166">
        <v>1578.77881297982</v>
      </c>
      <c r="D166">
        <v>262.334027858225</v>
      </c>
      <c r="K166">
        <v>0.99617687982721903</v>
      </c>
      <c r="L166">
        <v>1.3302257453447199</v>
      </c>
      <c r="M166">
        <v>0.49894546447847699</v>
      </c>
      <c r="N166">
        <v>508</v>
      </c>
      <c r="T166">
        <v>233631</v>
      </c>
    </row>
    <row r="167" spans="1:20" x14ac:dyDescent="0.3">
      <c r="A167" s="1">
        <v>45457</v>
      </c>
      <c r="B167">
        <v>67</v>
      </c>
      <c r="C167">
        <v>1700.03577567103</v>
      </c>
      <c r="D167">
        <v>3498.3273786171098</v>
      </c>
      <c r="E167">
        <v>24</v>
      </c>
      <c r="F167">
        <v>24</v>
      </c>
      <c r="K167">
        <v>0.56803579794065395</v>
      </c>
      <c r="L167">
        <v>2.0785304591466902</v>
      </c>
      <c r="M167">
        <v>0.25569052975967199</v>
      </c>
      <c r="N167">
        <v>5059</v>
      </c>
      <c r="T167">
        <v>2395752</v>
      </c>
    </row>
    <row r="168" spans="1:20" x14ac:dyDescent="0.3">
      <c r="A168" s="1">
        <v>45458</v>
      </c>
      <c r="B168">
        <v>80</v>
      </c>
      <c r="C168">
        <v>1786.50974233227</v>
      </c>
      <c r="D168">
        <v>3483.6816506936202</v>
      </c>
      <c r="E168">
        <v>27</v>
      </c>
      <c r="F168">
        <v>27</v>
      </c>
      <c r="K168">
        <v>0.55228609515423999</v>
      </c>
      <c r="L168">
        <v>2.05295284259797</v>
      </c>
      <c r="M168">
        <v>0.24995629124588301</v>
      </c>
      <c r="N168">
        <v>5279</v>
      </c>
      <c r="R168">
        <v>798106</v>
      </c>
      <c r="T168">
        <v>3104863</v>
      </c>
    </row>
    <row r="169" spans="1:20" x14ac:dyDescent="0.3">
      <c r="A169" s="1">
        <v>45459</v>
      </c>
      <c r="B169">
        <v>46</v>
      </c>
      <c r="C169">
        <v>1727.7719130005701</v>
      </c>
      <c r="D169">
        <v>418.49368921828398</v>
      </c>
      <c r="E169">
        <v>38</v>
      </c>
      <c r="F169">
        <v>38</v>
      </c>
      <c r="K169">
        <v>0.43070096781507899</v>
      </c>
      <c r="L169">
        <v>1.65086302357825</v>
      </c>
      <c r="M169">
        <v>0.32623248410219102</v>
      </c>
      <c r="N169">
        <v>755</v>
      </c>
      <c r="R169">
        <v>2322383</v>
      </c>
      <c r="T169">
        <v>421014</v>
      </c>
    </row>
    <row r="170" spans="1:20" x14ac:dyDescent="0.3">
      <c r="A170" s="1">
        <v>45460</v>
      </c>
      <c r="B170">
        <v>6</v>
      </c>
      <c r="C170">
        <v>1593.3542784577501</v>
      </c>
      <c r="D170">
        <v>372.21920192872301</v>
      </c>
      <c r="K170">
        <v>0.90979106511387497</v>
      </c>
      <c r="L170">
        <v>1.44380757271265</v>
      </c>
      <c r="M170">
        <v>0.275232538102889</v>
      </c>
      <c r="N170">
        <v>667</v>
      </c>
      <c r="T170">
        <v>494995</v>
      </c>
    </row>
    <row r="171" spans="1:20" x14ac:dyDescent="0.3">
      <c r="A171" s="1">
        <v>45461</v>
      </c>
      <c r="B171">
        <v>177</v>
      </c>
      <c r="C171">
        <v>2129.3755129456799</v>
      </c>
      <c r="D171">
        <v>4408.8097044691103</v>
      </c>
      <c r="E171">
        <v>108</v>
      </c>
      <c r="F171">
        <v>108</v>
      </c>
      <c r="K171">
        <v>0.57220892764327902</v>
      </c>
      <c r="L171">
        <v>1.49261187370778</v>
      </c>
      <c r="M171">
        <v>0.25908590195577602</v>
      </c>
      <c r="N171">
        <v>6716</v>
      </c>
      <c r="R171">
        <v>5634090</v>
      </c>
      <c r="T171">
        <v>4079849</v>
      </c>
    </row>
    <row r="172" spans="1:20" x14ac:dyDescent="0.3">
      <c r="A172" s="1">
        <v>45462</v>
      </c>
      <c r="B172">
        <v>79</v>
      </c>
      <c r="C172">
        <v>1818.78196546717</v>
      </c>
      <c r="D172">
        <v>2203.0991854932299</v>
      </c>
      <c r="E172">
        <v>48</v>
      </c>
      <c r="F172">
        <v>48</v>
      </c>
      <c r="K172">
        <v>0.50916239858155798</v>
      </c>
      <c r="L172">
        <v>1.49402766228213</v>
      </c>
      <c r="M172">
        <v>0.28273483271525301</v>
      </c>
      <c r="N172">
        <v>3316</v>
      </c>
      <c r="R172">
        <v>2335480</v>
      </c>
      <c r="T172">
        <v>2038977</v>
      </c>
    </row>
    <row r="173" spans="1:20" x14ac:dyDescent="0.3">
      <c r="A173" s="1">
        <v>45463</v>
      </c>
      <c r="B173">
        <v>8</v>
      </c>
      <c r="C173">
        <v>1569.5212286603</v>
      </c>
      <c r="D173">
        <v>234.234934487944</v>
      </c>
      <c r="K173">
        <v>0.40149622365372001</v>
      </c>
      <c r="L173">
        <v>0.57764567916333698</v>
      </c>
      <c r="M173">
        <v>0.32623249540238702</v>
      </c>
      <c r="N173">
        <v>492</v>
      </c>
      <c r="T173">
        <v>67625</v>
      </c>
    </row>
    <row r="174" spans="1:20" x14ac:dyDescent="0.3">
      <c r="A174" s="1">
        <v>45464</v>
      </c>
      <c r="B174">
        <v>15</v>
      </c>
      <c r="C174">
        <v>1643.2844837845801</v>
      </c>
      <c r="D174">
        <v>919.78128330573497</v>
      </c>
      <c r="E174">
        <v>5</v>
      </c>
      <c r="F174">
        <v>5</v>
      </c>
      <c r="K174">
        <v>0.44042975559301001</v>
      </c>
      <c r="L174">
        <v>1.5181906368264</v>
      </c>
      <c r="M174">
        <v>0.25011158278656997</v>
      </c>
      <c r="N174">
        <v>1562</v>
      </c>
      <c r="T174">
        <v>1390336</v>
      </c>
    </row>
    <row r="175" spans="1:20" x14ac:dyDescent="0.3">
      <c r="A175" s="1">
        <v>45465</v>
      </c>
      <c r="B175">
        <v>110</v>
      </c>
      <c r="C175">
        <v>1933.80810768229</v>
      </c>
      <c r="D175">
        <v>840.807716825998</v>
      </c>
      <c r="E175">
        <v>88</v>
      </c>
      <c r="F175">
        <v>88</v>
      </c>
      <c r="K175">
        <v>0.35173457371995098</v>
      </c>
      <c r="L175">
        <v>1.28136667546681</v>
      </c>
      <c r="M175">
        <v>0.271860416072358</v>
      </c>
      <c r="N175">
        <v>1362</v>
      </c>
      <c r="R175">
        <v>5378678</v>
      </c>
      <c r="T175">
        <v>846193</v>
      </c>
    </row>
    <row r="176" spans="1:20" x14ac:dyDescent="0.3">
      <c r="A176" s="1">
        <v>45466</v>
      </c>
      <c r="B176">
        <v>5</v>
      </c>
      <c r="C176">
        <v>1568.54921364294</v>
      </c>
      <c r="D176">
        <v>181.41159711492799</v>
      </c>
      <c r="K176">
        <v>0.30457352817893202</v>
      </c>
      <c r="L176">
        <v>1.04313898668061</v>
      </c>
      <c r="M176">
        <v>0.26098599942946399</v>
      </c>
      <c r="N176">
        <v>384</v>
      </c>
      <c r="T176">
        <v>50195</v>
      </c>
    </row>
    <row r="177" spans="1:20" x14ac:dyDescent="0.3">
      <c r="A177" s="1">
        <v>45467</v>
      </c>
      <c r="B177">
        <v>133</v>
      </c>
      <c r="C177">
        <v>2058.0022179194998</v>
      </c>
      <c r="D177">
        <v>927.44802316463904</v>
      </c>
      <c r="E177">
        <v>111</v>
      </c>
      <c r="F177">
        <v>111</v>
      </c>
      <c r="K177">
        <v>0.41641046715764801</v>
      </c>
      <c r="L177">
        <v>1.10433315288365</v>
      </c>
      <c r="M177">
        <v>0.25011158278656997</v>
      </c>
      <c r="N177">
        <v>1452</v>
      </c>
      <c r="R177">
        <v>6822802</v>
      </c>
      <c r="T177">
        <v>1528390</v>
      </c>
    </row>
    <row r="178" spans="1:20" x14ac:dyDescent="0.3">
      <c r="A178" s="1">
        <v>45468</v>
      </c>
      <c r="B178">
        <v>89</v>
      </c>
      <c r="C178">
        <v>1875.43763860532</v>
      </c>
      <c r="D178">
        <v>1298.0586869214701</v>
      </c>
      <c r="E178">
        <v>66</v>
      </c>
      <c r="F178">
        <v>66</v>
      </c>
      <c r="K178">
        <v>0.43771520956410398</v>
      </c>
      <c r="L178">
        <v>1.4197964795339499</v>
      </c>
      <c r="M178">
        <v>0.27818258447421601</v>
      </c>
      <c r="N178">
        <v>2008</v>
      </c>
      <c r="R178">
        <v>3981273</v>
      </c>
      <c r="T178">
        <v>1294357</v>
      </c>
    </row>
    <row r="179" spans="1:20" x14ac:dyDescent="0.3">
      <c r="A179" s="1">
        <v>45469</v>
      </c>
      <c r="B179">
        <v>111</v>
      </c>
      <c r="C179">
        <v>1920.1228693103401</v>
      </c>
      <c r="D179">
        <v>2426.3194856718101</v>
      </c>
      <c r="E179">
        <v>73</v>
      </c>
      <c r="F179">
        <v>73</v>
      </c>
      <c r="K179">
        <v>0.56151638998212305</v>
      </c>
      <c r="L179">
        <v>1.7201513736927401</v>
      </c>
      <c r="M179">
        <v>0.27631336854930899</v>
      </c>
      <c r="N179">
        <v>3658</v>
      </c>
      <c r="R179">
        <v>4098049</v>
      </c>
      <c r="T179">
        <v>1960547</v>
      </c>
    </row>
    <row r="180" spans="1:20" x14ac:dyDescent="0.3">
      <c r="A180" s="1">
        <v>45470</v>
      </c>
      <c r="B180">
        <v>53</v>
      </c>
      <c r="C180">
        <v>1694.0913055056101</v>
      </c>
      <c r="D180">
        <v>2692.95203377294</v>
      </c>
      <c r="E180">
        <v>10</v>
      </c>
      <c r="F180">
        <v>10</v>
      </c>
      <c r="K180">
        <v>0.372207335716087</v>
      </c>
      <c r="L180">
        <v>1.4431233662093399</v>
      </c>
      <c r="M180">
        <v>0.25011158278656997</v>
      </c>
      <c r="N180">
        <v>4313</v>
      </c>
      <c r="T180">
        <v>2301394</v>
      </c>
    </row>
    <row r="181" spans="1:20" x14ac:dyDescent="0.3">
      <c r="A181" s="1">
        <v>45471</v>
      </c>
      <c r="B181">
        <v>138</v>
      </c>
      <c r="C181">
        <v>2001.96364351069</v>
      </c>
      <c r="D181">
        <v>7100.21299763775</v>
      </c>
      <c r="E181">
        <v>31</v>
      </c>
      <c r="F181">
        <v>31</v>
      </c>
      <c r="K181">
        <v>0.61912938533199202</v>
      </c>
      <c r="L181">
        <v>1.5523907215610799</v>
      </c>
      <c r="M181">
        <v>0.25011158278656997</v>
      </c>
      <c r="N181">
        <v>10850</v>
      </c>
      <c r="T181">
        <v>7822107</v>
      </c>
    </row>
    <row r="182" spans="1:20" x14ac:dyDescent="0.3">
      <c r="A182" s="1">
        <v>45472</v>
      </c>
      <c r="B182">
        <v>103</v>
      </c>
      <c r="C182">
        <v>1786.76516592897</v>
      </c>
      <c r="D182">
        <v>4675.5164190178202</v>
      </c>
      <c r="E182">
        <v>15</v>
      </c>
      <c r="F182">
        <v>15</v>
      </c>
      <c r="K182">
        <v>0.51757577668002097</v>
      </c>
      <c r="L182">
        <v>1.49346591161522</v>
      </c>
      <c r="M182">
        <v>0.25011158278656997</v>
      </c>
      <c r="N182">
        <v>7301</v>
      </c>
      <c r="T182">
        <v>3963205</v>
      </c>
    </row>
    <row r="183" spans="1:20" x14ac:dyDescent="0.3">
      <c r="A183" s="1">
        <v>45473</v>
      </c>
      <c r="B183">
        <v>51</v>
      </c>
      <c r="C183">
        <v>1718.3295295819801</v>
      </c>
      <c r="D183">
        <v>2500.0001982173999</v>
      </c>
      <c r="E183">
        <v>12</v>
      </c>
      <c r="F183">
        <v>12</v>
      </c>
      <c r="K183">
        <v>0.44936414161745403</v>
      </c>
      <c r="L183">
        <v>1.5251795817538401</v>
      </c>
      <c r="M183">
        <v>0.26098599942946399</v>
      </c>
      <c r="N183">
        <v>3899</v>
      </c>
      <c r="T183">
        <v>2736028</v>
      </c>
    </row>
    <row r="184" spans="1:20" x14ac:dyDescent="0.3">
      <c r="A184" s="1">
        <v>45474</v>
      </c>
      <c r="B184">
        <v>115</v>
      </c>
      <c r="C184">
        <v>1842.43304282742</v>
      </c>
      <c r="D184">
        <v>4510.9504291521698</v>
      </c>
      <c r="E184">
        <v>31</v>
      </c>
      <c r="F184">
        <v>31</v>
      </c>
      <c r="K184">
        <v>0.54388999257455295</v>
      </c>
      <c r="L184">
        <v>1.43297172062096</v>
      </c>
      <c r="M184">
        <v>0.25011158278656997</v>
      </c>
      <c r="N184">
        <v>7100</v>
      </c>
      <c r="R184">
        <v>1061538</v>
      </c>
      <c r="T184">
        <v>3825867</v>
      </c>
    </row>
    <row r="185" spans="1:20" x14ac:dyDescent="0.3">
      <c r="A185" s="1">
        <v>45475</v>
      </c>
      <c r="B185">
        <v>38</v>
      </c>
      <c r="C185">
        <v>1637.8725903868001</v>
      </c>
      <c r="D185">
        <v>1661.0033071226301</v>
      </c>
      <c r="E185">
        <v>1</v>
      </c>
      <c r="F185">
        <v>1</v>
      </c>
      <c r="K185">
        <v>0.381187855487503</v>
      </c>
      <c r="L185">
        <v>1.50266185641066</v>
      </c>
      <c r="M185">
        <v>0.25011158278656997</v>
      </c>
      <c r="N185">
        <v>2921</v>
      </c>
      <c r="T185">
        <v>1293290</v>
      </c>
    </row>
    <row r="186" spans="1:20" x14ac:dyDescent="0.3">
      <c r="A186" s="1">
        <v>45476</v>
      </c>
      <c r="B186">
        <v>17</v>
      </c>
      <c r="C186">
        <v>1624.8389950073199</v>
      </c>
      <c r="D186">
        <v>754.45993213380405</v>
      </c>
      <c r="K186">
        <v>0.468595477379808</v>
      </c>
      <c r="L186">
        <v>1.2037549466925599</v>
      </c>
      <c r="M186">
        <v>0.25011158278656997</v>
      </c>
      <c r="N186">
        <v>1642</v>
      </c>
      <c r="T186">
        <v>1059572</v>
      </c>
    </row>
    <row r="187" spans="1:20" x14ac:dyDescent="0.3">
      <c r="A187" s="1">
        <v>45477</v>
      </c>
      <c r="B187">
        <v>33</v>
      </c>
      <c r="C187">
        <v>1670.57058261574</v>
      </c>
      <c r="D187">
        <v>1393.1194458521099</v>
      </c>
      <c r="K187">
        <v>0.44520545784473903</v>
      </c>
      <c r="L187">
        <v>1.4622795518818099</v>
      </c>
      <c r="M187">
        <v>0.26098599942946399</v>
      </c>
      <c r="N187">
        <v>2599</v>
      </c>
      <c r="T187">
        <v>1879624</v>
      </c>
    </row>
    <row r="188" spans="1:20" x14ac:dyDescent="0.3">
      <c r="A188" s="1">
        <v>45478</v>
      </c>
      <c r="B188">
        <v>93</v>
      </c>
      <c r="C188">
        <v>1762.4120013745301</v>
      </c>
      <c r="D188">
        <v>5258.3374334721302</v>
      </c>
      <c r="E188">
        <v>24</v>
      </c>
      <c r="F188">
        <v>24</v>
      </c>
      <c r="K188">
        <v>0.56104857586808399</v>
      </c>
      <c r="L188">
        <v>1.60040463294577</v>
      </c>
      <c r="M188">
        <v>0.25011158278656997</v>
      </c>
      <c r="N188">
        <v>7851</v>
      </c>
      <c r="T188">
        <v>3526509</v>
      </c>
    </row>
    <row r="189" spans="1:20" x14ac:dyDescent="0.3">
      <c r="A189" s="1">
        <v>45479</v>
      </c>
      <c r="B189">
        <v>122</v>
      </c>
      <c r="C189">
        <v>1908.32938997473</v>
      </c>
      <c r="D189">
        <v>5665.0280359716098</v>
      </c>
      <c r="E189">
        <v>65</v>
      </c>
      <c r="F189">
        <v>65</v>
      </c>
      <c r="K189">
        <v>0.51051068692887802</v>
      </c>
      <c r="L189">
        <v>1.50065187532716</v>
      </c>
      <c r="M189">
        <v>0.25011158278656997</v>
      </c>
      <c r="N189">
        <v>8340</v>
      </c>
      <c r="R189">
        <v>1817423</v>
      </c>
      <c r="T189">
        <v>4198913</v>
      </c>
    </row>
    <row r="190" spans="1:20" x14ac:dyDescent="0.3">
      <c r="A190" s="1">
        <v>45480</v>
      </c>
      <c r="B190">
        <v>30</v>
      </c>
      <c r="C190">
        <v>1600.4515495543901</v>
      </c>
      <c r="D190">
        <v>1080.80874393251</v>
      </c>
      <c r="K190">
        <v>0.364080017898046</v>
      </c>
      <c r="L190">
        <v>1.06384512393749</v>
      </c>
      <c r="M190">
        <v>0.26098599942946399</v>
      </c>
      <c r="N190">
        <v>1850</v>
      </c>
      <c r="T190">
        <v>622262</v>
      </c>
    </row>
    <row r="191" spans="1:20" x14ac:dyDescent="0.3">
      <c r="A191" s="1">
        <v>45481</v>
      </c>
      <c r="B191">
        <v>102</v>
      </c>
      <c r="C191">
        <v>1787.4777816260801</v>
      </c>
      <c r="D191">
        <v>4810.5849150056101</v>
      </c>
      <c r="E191">
        <v>13</v>
      </c>
      <c r="F191">
        <v>13</v>
      </c>
      <c r="K191">
        <v>0.59936340689323997</v>
      </c>
      <c r="L191">
        <v>1.7895450440139999</v>
      </c>
      <c r="M191">
        <v>0.25011158278656997</v>
      </c>
      <c r="N191">
        <v>7615</v>
      </c>
      <c r="T191">
        <v>3975984</v>
      </c>
    </row>
    <row r="192" spans="1:20" x14ac:dyDescent="0.3">
      <c r="A192" s="1">
        <v>45482</v>
      </c>
      <c r="B192">
        <v>114</v>
      </c>
      <c r="C192">
        <v>1668.3925931767401</v>
      </c>
      <c r="D192">
        <v>4030.1773765233702</v>
      </c>
      <c r="E192">
        <v>2</v>
      </c>
      <c r="F192">
        <v>2</v>
      </c>
      <c r="K192">
        <v>0.42655429345553703</v>
      </c>
      <c r="L192">
        <v>1.4157204030158399</v>
      </c>
      <c r="M192">
        <v>0.26098599942946399</v>
      </c>
      <c r="N192">
        <v>6430</v>
      </c>
      <c r="T192">
        <v>1840569</v>
      </c>
    </row>
    <row r="193" spans="1:20" x14ac:dyDescent="0.3">
      <c r="A193" s="1">
        <v>45483</v>
      </c>
      <c r="B193">
        <v>114</v>
      </c>
      <c r="C193">
        <v>1715.90225961428</v>
      </c>
      <c r="D193">
        <v>4111.4410803150404</v>
      </c>
      <c r="E193">
        <v>2</v>
      </c>
      <c r="F193">
        <v>2</v>
      </c>
      <c r="K193">
        <v>0.549555915578962</v>
      </c>
      <c r="L193">
        <v>1.6224300140524901</v>
      </c>
      <c r="M193">
        <v>0.26098599942946399</v>
      </c>
      <c r="N193">
        <v>6673</v>
      </c>
      <c r="T193">
        <v>2692505</v>
      </c>
    </row>
    <row r="194" spans="1:20" x14ac:dyDescent="0.3">
      <c r="A194" s="1">
        <v>45484</v>
      </c>
      <c r="B194">
        <v>117</v>
      </c>
      <c r="C194">
        <v>1874.89533479593</v>
      </c>
      <c r="D194">
        <v>6315.0247003993099</v>
      </c>
      <c r="E194">
        <v>31</v>
      </c>
      <c r="F194">
        <v>31</v>
      </c>
      <c r="K194">
        <v>0.63116036402317699</v>
      </c>
      <c r="L194">
        <v>1.5571797397400899</v>
      </c>
      <c r="M194">
        <v>0.25011158278656997</v>
      </c>
      <c r="N194">
        <v>9671</v>
      </c>
      <c r="T194">
        <v>5543541</v>
      </c>
    </row>
    <row r="195" spans="1:20" x14ac:dyDescent="0.3">
      <c r="A195" s="1">
        <v>45485</v>
      </c>
      <c r="B195">
        <v>84</v>
      </c>
      <c r="C195">
        <v>1689.1020299204199</v>
      </c>
      <c r="D195">
        <v>2756.0395721597401</v>
      </c>
      <c r="E195">
        <v>1</v>
      </c>
      <c r="F195">
        <v>1</v>
      </c>
      <c r="K195">
        <v>0.373689537157884</v>
      </c>
      <c r="L195">
        <v>1.4054734028747999</v>
      </c>
      <c r="M195">
        <v>0.24565578803888499</v>
      </c>
      <c r="N195">
        <v>4475</v>
      </c>
      <c r="T195">
        <v>2211929</v>
      </c>
    </row>
    <row r="196" spans="1:20" x14ac:dyDescent="0.3">
      <c r="A196" s="1">
        <v>45486</v>
      </c>
      <c r="B196">
        <v>14</v>
      </c>
      <c r="C196">
        <v>1596.8768988020799</v>
      </c>
      <c r="D196">
        <v>574.65949357971897</v>
      </c>
      <c r="E196">
        <v>1</v>
      </c>
      <c r="F196">
        <v>1</v>
      </c>
      <c r="K196">
        <v>0.43394040399846601</v>
      </c>
      <c r="L196">
        <v>1.3044024458152499</v>
      </c>
      <c r="M196">
        <v>0.315358082643936</v>
      </c>
      <c r="N196">
        <v>1042</v>
      </c>
      <c r="T196">
        <v>558162</v>
      </c>
    </row>
    <row r="197" spans="1:20" x14ac:dyDescent="0.3">
      <c r="A197" s="1">
        <v>45487</v>
      </c>
      <c r="B197">
        <v>99</v>
      </c>
      <c r="C197">
        <v>1814.68535419009</v>
      </c>
      <c r="D197">
        <v>4594.1712669053104</v>
      </c>
      <c r="E197">
        <v>18</v>
      </c>
      <c r="F197">
        <v>13</v>
      </c>
      <c r="K197">
        <v>0.395861328457349</v>
      </c>
      <c r="L197">
        <v>2.09138971371886</v>
      </c>
      <c r="M197">
        <v>0.25009689713232303</v>
      </c>
      <c r="N197">
        <v>7042</v>
      </c>
      <c r="T197">
        <v>4449425</v>
      </c>
    </row>
    <row r="198" spans="1:20" x14ac:dyDescent="0.3">
      <c r="A198" s="1">
        <v>45488</v>
      </c>
      <c r="B198">
        <v>30</v>
      </c>
      <c r="C198">
        <v>1600.38115481861</v>
      </c>
      <c r="D198">
        <v>1200.5172536157099</v>
      </c>
      <c r="E198">
        <v>2</v>
      </c>
      <c r="F198">
        <v>2</v>
      </c>
      <c r="K198">
        <v>0.44758486343429299</v>
      </c>
      <c r="L198">
        <v>1.2967489986315801</v>
      </c>
      <c r="M198">
        <v>0.25011158278656997</v>
      </c>
      <c r="N198">
        <v>2110</v>
      </c>
      <c r="T198">
        <v>621001</v>
      </c>
    </row>
    <row r="199" spans="1:20" x14ac:dyDescent="0.3">
      <c r="A199" s="1">
        <v>45489</v>
      </c>
      <c r="B199">
        <v>143</v>
      </c>
      <c r="C199">
        <v>1957.01100517488</v>
      </c>
      <c r="D199">
        <v>7655.7168545652003</v>
      </c>
      <c r="E199">
        <v>42</v>
      </c>
      <c r="F199">
        <v>42</v>
      </c>
      <c r="K199">
        <v>0.60306777156570801</v>
      </c>
      <c r="L199">
        <v>1.4491295122241299</v>
      </c>
      <c r="M199">
        <v>0.25097810747585098</v>
      </c>
      <c r="N199">
        <v>11459</v>
      </c>
      <c r="T199">
        <v>7016024</v>
      </c>
    </row>
    <row r="200" spans="1:20" x14ac:dyDescent="0.3">
      <c r="A200" s="1">
        <v>45490</v>
      </c>
      <c r="B200">
        <v>84</v>
      </c>
      <c r="C200">
        <v>1817.7157576990401</v>
      </c>
      <c r="D200">
        <v>4083.0503277441398</v>
      </c>
      <c r="E200">
        <v>18</v>
      </c>
      <c r="F200">
        <v>18</v>
      </c>
      <c r="K200">
        <v>0.41306990660223902</v>
      </c>
      <c r="L200">
        <v>1.97601684125823</v>
      </c>
      <c r="M200">
        <v>0.26453298175179502</v>
      </c>
      <c r="N200">
        <v>6091</v>
      </c>
      <c r="T200">
        <v>4518205</v>
      </c>
    </row>
    <row r="201" spans="1:20" x14ac:dyDescent="0.3">
      <c r="A201" s="1">
        <v>45491</v>
      </c>
      <c r="B201">
        <v>10</v>
      </c>
      <c r="C201">
        <v>1619.3279811283201</v>
      </c>
      <c r="D201">
        <v>521.16517549524599</v>
      </c>
      <c r="K201">
        <v>0.69052706409687803</v>
      </c>
      <c r="L201">
        <v>1.32797867794749</v>
      </c>
      <c r="M201">
        <v>0.30448366600104099</v>
      </c>
      <c r="N201">
        <v>984</v>
      </c>
      <c r="T201">
        <v>960751</v>
      </c>
    </row>
    <row r="202" spans="1:20" x14ac:dyDescent="0.3">
      <c r="A202" s="1">
        <v>45492</v>
      </c>
      <c r="B202">
        <v>84</v>
      </c>
      <c r="C202">
        <v>1852.61706127604</v>
      </c>
      <c r="D202">
        <v>4653.8350955036803</v>
      </c>
      <c r="E202">
        <v>18</v>
      </c>
      <c r="F202">
        <v>15</v>
      </c>
      <c r="K202">
        <v>0.47553025732245102</v>
      </c>
      <c r="L202">
        <v>2.9484963348452</v>
      </c>
      <c r="M202">
        <v>0.25011158278656997</v>
      </c>
      <c r="N202">
        <v>7098</v>
      </c>
      <c r="T202">
        <v>5144049</v>
      </c>
    </row>
    <row r="203" spans="1:20" x14ac:dyDescent="0.3">
      <c r="A203" s="1">
        <v>45493</v>
      </c>
      <c r="B203">
        <v>31</v>
      </c>
      <c r="C203">
        <v>1602.0795721274801</v>
      </c>
      <c r="D203">
        <v>1191.4232991926599</v>
      </c>
      <c r="K203">
        <v>0.39804787163027699</v>
      </c>
      <c r="L203">
        <v>0.91633297383082701</v>
      </c>
      <c r="M203">
        <v>0.25011158278656997</v>
      </c>
      <c r="N203">
        <v>2370</v>
      </c>
      <c r="T203">
        <v>651455</v>
      </c>
    </row>
    <row r="204" spans="1:20" x14ac:dyDescent="0.3">
      <c r="A204" s="1">
        <v>45494</v>
      </c>
      <c r="B204">
        <v>96</v>
      </c>
      <c r="C204">
        <v>1819.97739111635</v>
      </c>
      <c r="D204">
        <v>4066.7811267929801</v>
      </c>
      <c r="E204">
        <v>9</v>
      </c>
      <c r="F204">
        <v>9</v>
      </c>
      <c r="K204">
        <v>0.44325665974263601</v>
      </c>
      <c r="L204">
        <v>1.6792616476429501</v>
      </c>
      <c r="M204">
        <v>0.25011158278656997</v>
      </c>
      <c r="N204">
        <v>6267</v>
      </c>
      <c r="T204">
        <v>4558760</v>
      </c>
    </row>
    <row r="205" spans="1:20" x14ac:dyDescent="0.3">
      <c r="A205" s="1">
        <v>45495</v>
      </c>
      <c r="B205">
        <v>20</v>
      </c>
      <c r="C205">
        <v>1619.9681881220899</v>
      </c>
      <c r="D205">
        <v>738.97585101284403</v>
      </c>
      <c r="K205">
        <v>0.34354586464174203</v>
      </c>
      <c r="L205">
        <v>1.1779784653074299</v>
      </c>
      <c r="M205">
        <v>0.28637563177553099</v>
      </c>
      <c r="N205">
        <v>1401</v>
      </c>
      <c r="T205">
        <v>972231</v>
      </c>
    </row>
    <row r="206" spans="1:20" x14ac:dyDescent="0.3">
      <c r="A206" s="1">
        <v>45496</v>
      </c>
      <c r="B206">
        <v>18</v>
      </c>
      <c r="C206">
        <v>1638.59216486589</v>
      </c>
      <c r="D206">
        <v>829.41575526775102</v>
      </c>
      <c r="K206">
        <v>0.51718807044204496</v>
      </c>
      <c r="L206">
        <v>1.0897922890146601</v>
      </c>
      <c r="M206">
        <v>0.24565350570465699</v>
      </c>
      <c r="N206">
        <v>1546</v>
      </c>
      <c r="T206">
        <v>1306193</v>
      </c>
    </row>
    <row r="207" spans="1:20" x14ac:dyDescent="0.3">
      <c r="A207" s="1">
        <v>45497</v>
      </c>
      <c r="B207">
        <v>42</v>
      </c>
      <c r="C207">
        <v>1623.1658985072399</v>
      </c>
      <c r="D207">
        <v>1306.6328182869099</v>
      </c>
      <c r="K207">
        <v>0.486242140283484</v>
      </c>
      <c r="L207">
        <v>1.1449087848303099</v>
      </c>
      <c r="M207">
        <v>0.25011158278656997</v>
      </c>
      <c r="N207">
        <v>2277</v>
      </c>
      <c r="T207">
        <v>1029572</v>
      </c>
    </row>
    <row r="208" spans="1:20" x14ac:dyDescent="0.3">
      <c r="A208" s="1">
        <v>45498</v>
      </c>
      <c r="B208">
        <v>32</v>
      </c>
      <c r="C208">
        <v>1666.08007399594</v>
      </c>
      <c r="D208">
        <v>1144.4340062495401</v>
      </c>
      <c r="K208">
        <v>0.38291315299402501</v>
      </c>
      <c r="L208">
        <v>1.0098631398982301</v>
      </c>
      <c r="M208">
        <v>0.25011158278656997</v>
      </c>
      <c r="N208">
        <v>1972</v>
      </c>
      <c r="T208">
        <v>1799101</v>
      </c>
    </row>
    <row r="209" spans="1:20" x14ac:dyDescent="0.3">
      <c r="A209" s="1">
        <v>45499</v>
      </c>
      <c r="B209">
        <v>71</v>
      </c>
      <c r="C209">
        <v>1705.5930791072101</v>
      </c>
      <c r="D209">
        <v>3482.2355279150902</v>
      </c>
      <c r="E209">
        <v>18</v>
      </c>
      <c r="F209">
        <v>18</v>
      </c>
      <c r="K209">
        <v>0.44168848165925301</v>
      </c>
      <c r="L209">
        <v>1.5816835910687701</v>
      </c>
      <c r="M209">
        <v>0.26098599942946399</v>
      </c>
      <c r="N209">
        <v>5205</v>
      </c>
      <c r="T209">
        <v>2507644</v>
      </c>
    </row>
    <row r="210" spans="1:20" x14ac:dyDescent="0.3">
      <c r="A210" s="1">
        <v>45500</v>
      </c>
      <c r="B210">
        <v>18</v>
      </c>
      <c r="C210">
        <v>1595.5566018647501</v>
      </c>
      <c r="D210">
        <v>718.10208645893601</v>
      </c>
      <c r="K210">
        <v>0.51318163416596896</v>
      </c>
      <c r="L210">
        <v>1.0799336316269501</v>
      </c>
      <c r="M210">
        <v>0.26098599942946399</v>
      </c>
      <c r="N210">
        <v>1287</v>
      </c>
      <c r="T210">
        <v>534487</v>
      </c>
    </row>
    <row r="211" spans="1:20" x14ac:dyDescent="0.3">
      <c r="A211" s="1">
        <v>45501</v>
      </c>
      <c r="B211">
        <v>12</v>
      </c>
      <c r="C211">
        <v>1671.7765544886599</v>
      </c>
      <c r="D211">
        <v>628.04386539008306</v>
      </c>
      <c r="K211">
        <v>0.39037911909030298</v>
      </c>
      <c r="L211">
        <v>1.12365480770457</v>
      </c>
      <c r="M211">
        <v>0.25011158278656997</v>
      </c>
      <c r="N211">
        <v>1183</v>
      </c>
      <c r="T211">
        <v>1901250</v>
      </c>
    </row>
    <row r="212" spans="1:20" x14ac:dyDescent="0.3">
      <c r="A212" s="1">
        <v>45502</v>
      </c>
      <c r="B212">
        <v>105</v>
      </c>
      <c r="C212">
        <v>1810.2657865271401</v>
      </c>
      <c r="D212">
        <v>5069.4501612061104</v>
      </c>
      <c r="E212">
        <v>16</v>
      </c>
      <c r="F212">
        <v>16</v>
      </c>
      <c r="K212">
        <v>0.66855924351604701</v>
      </c>
      <c r="L212">
        <v>1.5114284087658001</v>
      </c>
      <c r="M212">
        <v>0.25011158278656997</v>
      </c>
      <c r="N212">
        <v>7893</v>
      </c>
      <c r="T212">
        <v>4384615</v>
      </c>
    </row>
    <row r="213" spans="1:20" x14ac:dyDescent="0.3">
      <c r="A213" s="1">
        <v>45503</v>
      </c>
      <c r="B213">
        <v>84</v>
      </c>
      <c r="C213">
        <v>1718.14678743228</v>
      </c>
      <c r="D213">
        <v>2943.4211123074701</v>
      </c>
      <c r="E213">
        <v>13</v>
      </c>
      <c r="F213">
        <v>13</v>
      </c>
      <c r="K213">
        <v>0.46391904813951701</v>
      </c>
      <c r="L213">
        <v>1.83029157405792</v>
      </c>
      <c r="M213">
        <v>0.25011158278656997</v>
      </c>
      <c r="N213">
        <v>4773</v>
      </c>
      <c r="R213">
        <v>677822</v>
      </c>
      <c r="T213">
        <v>2007662</v>
      </c>
    </row>
    <row r="214" spans="1:20" x14ac:dyDescent="0.3">
      <c r="A214" s="1">
        <v>45504</v>
      </c>
      <c r="B214">
        <v>15</v>
      </c>
      <c r="C214">
        <v>1587.57779718662</v>
      </c>
      <c r="D214">
        <v>600.934265522288</v>
      </c>
      <c r="E214">
        <v>1</v>
      </c>
      <c r="F214">
        <v>1</v>
      </c>
      <c r="K214">
        <v>0.69715237753909498</v>
      </c>
      <c r="L214">
        <v>1.3021334161328699</v>
      </c>
      <c r="M214">
        <v>0.326232478407951</v>
      </c>
      <c r="N214">
        <v>968</v>
      </c>
      <c r="T214">
        <v>391413</v>
      </c>
    </row>
    <row r="215" spans="1:20" x14ac:dyDescent="0.3">
      <c r="A215" s="1">
        <v>45505</v>
      </c>
      <c r="B215">
        <v>148</v>
      </c>
      <c r="C215">
        <v>2064.2822223421099</v>
      </c>
      <c r="D215">
        <v>8822.8068063359497</v>
      </c>
      <c r="E215">
        <v>62</v>
      </c>
      <c r="F215">
        <v>62</v>
      </c>
      <c r="K215">
        <v>0.53933529127687896</v>
      </c>
      <c r="L215">
        <v>1.5235479106823</v>
      </c>
      <c r="M215">
        <v>0.26098599942946399</v>
      </c>
      <c r="N215">
        <v>13036</v>
      </c>
      <c r="T215">
        <v>8939592</v>
      </c>
    </row>
    <row r="216" spans="1:20" x14ac:dyDescent="0.3">
      <c r="A216" s="1">
        <v>45506</v>
      </c>
      <c r="B216">
        <v>149</v>
      </c>
      <c r="C216">
        <v>1994.6218493250001</v>
      </c>
      <c r="D216">
        <v>7676.4266168402801</v>
      </c>
      <c r="E216">
        <v>49</v>
      </c>
      <c r="F216">
        <v>49</v>
      </c>
      <c r="K216">
        <v>0.70543242869597</v>
      </c>
      <c r="L216">
        <v>1.8691670970632801</v>
      </c>
      <c r="M216">
        <v>0.26092254054535202</v>
      </c>
      <c r="N216">
        <v>11434</v>
      </c>
      <c r="T216">
        <v>7690455</v>
      </c>
    </row>
    <row r="217" spans="1:20" x14ac:dyDescent="0.3">
      <c r="A217" s="1">
        <v>45507</v>
      </c>
      <c r="B217">
        <v>94</v>
      </c>
      <c r="C217">
        <v>1842.92477816528</v>
      </c>
      <c r="D217">
        <v>5263.6722407967</v>
      </c>
      <c r="E217">
        <v>34</v>
      </c>
      <c r="F217">
        <v>34</v>
      </c>
      <c r="K217">
        <v>0.50500899746264405</v>
      </c>
      <c r="L217">
        <v>1.5357454797627099</v>
      </c>
      <c r="M217">
        <v>0.24947105649420201</v>
      </c>
      <c r="N217">
        <v>7679</v>
      </c>
      <c r="T217">
        <v>4970249</v>
      </c>
    </row>
    <row r="218" spans="1:20" x14ac:dyDescent="0.3">
      <c r="A218" s="1">
        <v>45508</v>
      </c>
      <c r="B218">
        <v>195</v>
      </c>
      <c r="C218">
        <v>2078.7590794102298</v>
      </c>
      <c r="D218">
        <v>9231.3043967505091</v>
      </c>
      <c r="E218">
        <v>43</v>
      </c>
      <c r="F218">
        <v>43</v>
      </c>
      <c r="K218">
        <v>0.73375394150039597</v>
      </c>
      <c r="L218">
        <v>1.74876665369523</v>
      </c>
      <c r="M218">
        <v>0.25011158278656997</v>
      </c>
      <c r="N218">
        <v>13755</v>
      </c>
      <c r="R218">
        <v>413747</v>
      </c>
      <c r="T218">
        <v>8756590</v>
      </c>
    </row>
    <row r="219" spans="1:20" x14ac:dyDescent="0.3">
      <c r="A219" s="1">
        <v>45509</v>
      </c>
      <c r="B219">
        <v>211</v>
      </c>
      <c r="C219">
        <v>2169.5754742792001</v>
      </c>
      <c r="D219">
        <v>10435.8058470658</v>
      </c>
      <c r="E219">
        <v>85</v>
      </c>
      <c r="F219">
        <v>85</v>
      </c>
      <c r="K219">
        <v>0.70557261907527602</v>
      </c>
      <c r="L219">
        <v>1.60290847014866</v>
      </c>
      <c r="M219">
        <v>0.25011158278656997</v>
      </c>
      <c r="N219">
        <v>15395</v>
      </c>
      <c r="R219">
        <v>801614</v>
      </c>
      <c r="T219">
        <v>9970179</v>
      </c>
    </row>
    <row r="220" spans="1:20" x14ac:dyDescent="0.3">
      <c r="A220" s="1">
        <v>45510</v>
      </c>
      <c r="B220">
        <v>136</v>
      </c>
      <c r="C220">
        <v>2019.64804860544</v>
      </c>
      <c r="D220">
        <v>2720.95269387699</v>
      </c>
      <c r="E220">
        <v>87</v>
      </c>
      <c r="F220">
        <v>87</v>
      </c>
      <c r="K220">
        <v>0.53480104458932798</v>
      </c>
      <c r="L220">
        <v>1.4196377041574999</v>
      </c>
      <c r="M220">
        <v>0.25011158278656997</v>
      </c>
      <c r="N220">
        <v>4075</v>
      </c>
      <c r="R220">
        <v>4846208</v>
      </c>
      <c r="T220">
        <v>2955062</v>
      </c>
    </row>
    <row r="221" spans="1:20" x14ac:dyDescent="0.3">
      <c r="A221" s="1">
        <v>45511</v>
      </c>
      <c r="B221">
        <v>2</v>
      </c>
      <c r="C221">
        <v>1580.8063062818201</v>
      </c>
      <c r="D221">
        <v>130.49299971473201</v>
      </c>
      <c r="K221">
        <v>0.30568836825110202</v>
      </c>
      <c r="L221">
        <v>0.32623248906044</v>
      </c>
      <c r="M221">
        <v>0.271860416072358</v>
      </c>
      <c r="N221">
        <v>314</v>
      </c>
      <c r="T221">
        <v>269987</v>
      </c>
    </row>
    <row r="222" spans="1:20" x14ac:dyDescent="0.3">
      <c r="A222" s="1">
        <v>45512</v>
      </c>
      <c r="B222">
        <v>72</v>
      </c>
      <c r="C222">
        <v>1786.24817567078</v>
      </c>
      <c r="D222">
        <v>6011.6760738638304</v>
      </c>
      <c r="E222">
        <v>73</v>
      </c>
      <c r="F222">
        <v>47</v>
      </c>
      <c r="K222">
        <v>0.54075968480473802</v>
      </c>
      <c r="L222">
        <v>2.2882111694973801</v>
      </c>
      <c r="M222">
        <v>0.29360924935814697</v>
      </c>
      <c r="N222">
        <v>7864</v>
      </c>
      <c r="T222">
        <v>3626331</v>
      </c>
    </row>
    <row r="223" spans="1:20" x14ac:dyDescent="0.3">
      <c r="A223" s="1">
        <v>45513</v>
      </c>
      <c r="B223">
        <v>145</v>
      </c>
      <c r="C223">
        <v>2004.9797868385999</v>
      </c>
      <c r="D223">
        <v>4938.4710734525997</v>
      </c>
      <c r="E223">
        <v>68</v>
      </c>
      <c r="F223">
        <v>68</v>
      </c>
      <c r="K223">
        <v>0.57499558765439596</v>
      </c>
      <c r="L223">
        <v>1.5115787732678201</v>
      </c>
      <c r="M223">
        <v>0.23551511936420699</v>
      </c>
      <c r="N223">
        <v>7371</v>
      </c>
      <c r="R223">
        <v>2770647</v>
      </c>
      <c r="T223">
        <v>4912332</v>
      </c>
    </row>
    <row r="224" spans="1:20" x14ac:dyDescent="0.3">
      <c r="A224" s="1">
        <v>45514</v>
      </c>
      <c r="B224">
        <v>159</v>
      </c>
      <c r="C224">
        <v>2060.1514963659101</v>
      </c>
      <c r="D224">
        <v>5004.4643509080997</v>
      </c>
      <c r="E224">
        <v>82</v>
      </c>
      <c r="F224">
        <v>82</v>
      </c>
      <c r="K224">
        <v>0.47592902809929799</v>
      </c>
      <c r="L224">
        <v>1.5678838352940501</v>
      </c>
      <c r="M224">
        <v>0.25011158278656997</v>
      </c>
      <c r="N224">
        <v>7616</v>
      </c>
      <c r="R224">
        <v>3637083</v>
      </c>
      <c r="T224">
        <v>4974804</v>
      </c>
    </row>
    <row r="225" spans="1:21" x14ac:dyDescent="0.3">
      <c r="A225" s="1">
        <v>45515</v>
      </c>
      <c r="B225">
        <v>74</v>
      </c>
      <c r="C225">
        <v>1780.3839477741001</v>
      </c>
      <c r="D225">
        <v>2132.4165162488698</v>
      </c>
      <c r="E225">
        <v>44</v>
      </c>
      <c r="F225">
        <v>44</v>
      </c>
      <c r="K225">
        <v>0.52386327970409596</v>
      </c>
      <c r="L225">
        <v>1.4367065498526901</v>
      </c>
      <c r="M225">
        <v>0.26975183701688199</v>
      </c>
      <c r="N225">
        <v>3418</v>
      </c>
      <c r="R225">
        <v>2075309</v>
      </c>
      <c r="T225">
        <v>1628748</v>
      </c>
    </row>
    <row r="226" spans="1:21" x14ac:dyDescent="0.3">
      <c r="A226" s="1">
        <v>45516</v>
      </c>
      <c r="B226">
        <v>142</v>
      </c>
      <c r="C226">
        <v>1927.97892611257</v>
      </c>
      <c r="D226">
        <v>5984.1076195775804</v>
      </c>
      <c r="E226">
        <v>58</v>
      </c>
      <c r="F226">
        <v>58</v>
      </c>
      <c r="K226">
        <v>0.517274626110512</v>
      </c>
      <c r="L226">
        <v>1.5704026830965501</v>
      </c>
      <c r="M226">
        <v>0.25011158278656997</v>
      </c>
      <c r="N226">
        <v>9299</v>
      </c>
      <c r="R226">
        <v>1973671</v>
      </c>
      <c r="T226">
        <v>4384118</v>
      </c>
    </row>
    <row r="227" spans="1:21" x14ac:dyDescent="0.3">
      <c r="A227" s="1">
        <v>45517</v>
      </c>
      <c r="B227">
        <v>138</v>
      </c>
      <c r="C227">
        <v>1943.3837879463099</v>
      </c>
      <c r="D227">
        <v>4627.4864534566696</v>
      </c>
      <c r="E227">
        <v>39</v>
      </c>
      <c r="F227">
        <v>39</v>
      </c>
      <c r="K227">
        <v>0.59707946362949704</v>
      </c>
      <c r="L227">
        <v>1.7454818308989</v>
      </c>
      <c r="M227">
        <v>0.25011158278656997</v>
      </c>
      <c r="N227">
        <v>7399</v>
      </c>
      <c r="R227">
        <v>1936583</v>
      </c>
      <c r="T227">
        <v>4700036</v>
      </c>
    </row>
    <row r="228" spans="1:21" x14ac:dyDescent="0.3">
      <c r="A228" s="1">
        <v>45518</v>
      </c>
      <c r="B228">
        <v>153</v>
      </c>
      <c r="C228">
        <v>1833.57268577371</v>
      </c>
      <c r="D228">
        <v>5941.1588333974996</v>
      </c>
      <c r="E228">
        <v>20</v>
      </c>
      <c r="F228">
        <v>20</v>
      </c>
      <c r="K228">
        <v>0.46665444128556999</v>
      </c>
      <c r="L228">
        <v>1.7315446034719899</v>
      </c>
      <c r="M228">
        <v>0.25011158278656997</v>
      </c>
      <c r="N228">
        <v>9021</v>
      </c>
      <c r="T228">
        <v>4802550</v>
      </c>
    </row>
    <row r="229" spans="1:21" x14ac:dyDescent="0.3">
      <c r="A229" s="1">
        <v>45519</v>
      </c>
      <c r="B229">
        <v>56</v>
      </c>
      <c r="C229">
        <v>1701.6167409304201</v>
      </c>
      <c r="D229">
        <v>2432.2545246565201</v>
      </c>
      <c r="E229">
        <v>21</v>
      </c>
      <c r="F229">
        <v>21</v>
      </c>
      <c r="K229">
        <v>0.532374352622076</v>
      </c>
      <c r="L229">
        <v>1.3882491958029599</v>
      </c>
      <c r="M229">
        <v>0.29360924935814697</v>
      </c>
      <c r="N229">
        <v>3641</v>
      </c>
      <c r="R229">
        <v>546820</v>
      </c>
      <c r="T229">
        <v>1851386</v>
      </c>
    </row>
    <row r="230" spans="1:21" x14ac:dyDescent="0.3">
      <c r="A230" s="1">
        <v>45520</v>
      </c>
      <c r="B230">
        <v>165</v>
      </c>
      <c r="C230">
        <v>2074.1170331594199</v>
      </c>
      <c r="D230">
        <v>5976.2830379432799</v>
      </c>
      <c r="E230">
        <v>89</v>
      </c>
      <c r="F230">
        <v>89</v>
      </c>
      <c r="K230">
        <v>0.56312852110464795</v>
      </c>
      <c r="L230">
        <v>1.4247688554521301</v>
      </c>
      <c r="M230">
        <v>0.25640984563242197</v>
      </c>
      <c r="N230">
        <v>8953</v>
      </c>
      <c r="R230">
        <v>3429135</v>
      </c>
      <c r="T230">
        <v>5447683</v>
      </c>
    </row>
    <row r="231" spans="1:21" x14ac:dyDescent="0.3">
      <c r="A231" s="1">
        <v>45521</v>
      </c>
      <c r="B231">
        <v>85</v>
      </c>
      <c r="C231">
        <v>1804.0504331080599</v>
      </c>
      <c r="D231">
        <v>4439.3987293977898</v>
      </c>
      <c r="E231">
        <v>18</v>
      </c>
      <c r="F231">
        <v>18</v>
      </c>
      <c r="K231">
        <v>0.53462644246956903</v>
      </c>
      <c r="L231">
        <v>1.5268284310986</v>
      </c>
      <c r="M231">
        <v>0.28273483271525301</v>
      </c>
      <c r="N231">
        <v>6732</v>
      </c>
      <c r="T231">
        <v>3852531</v>
      </c>
      <c r="U231">
        <v>183674</v>
      </c>
    </row>
    <row r="232" spans="1:21" x14ac:dyDescent="0.3">
      <c r="A232" s="1">
        <v>45522</v>
      </c>
      <c r="B232">
        <v>134</v>
      </c>
      <c r="C232">
        <v>1975.83950751097</v>
      </c>
      <c r="D232">
        <v>4363.2458769897803</v>
      </c>
      <c r="E232">
        <v>58</v>
      </c>
      <c r="F232">
        <v>58</v>
      </c>
      <c r="K232">
        <v>0.53505338201149899</v>
      </c>
      <c r="L232">
        <v>1.5851051519155099</v>
      </c>
      <c r="M232">
        <v>0.27007720416099301</v>
      </c>
      <c r="N232">
        <v>6485</v>
      </c>
      <c r="R232">
        <v>2502478</v>
      </c>
      <c r="T232">
        <v>4676662</v>
      </c>
    </row>
    <row r="233" spans="1:21" x14ac:dyDescent="0.3">
      <c r="A233" s="1">
        <v>45523</v>
      </c>
      <c r="B233">
        <v>132</v>
      </c>
      <c r="C233">
        <v>1920.3059393328299</v>
      </c>
      <c r="D233">
        <v>3707.1267109025998</v>
      </c>
      <c r="E233">
        <v>47</v>
      </c>
      <c r="F233">
        <v>47</v>
      </c>
      <c r="K233">
        <v>0.48008223782077403</v>
      </c>
      <c r="L233">
        <v>1.2514167553389799</v>
      </c>
      <c r="M233">
        <v>0.25409148062502002</v>
      </c>
      <c r="N233">
        <v>5893</v>
      </c>
      <c r="R233">
        <v>2685512</v>
      </c>
      <c r="T233">
        <v>3485048</v>
      </c>
    </row>
    <row r="234" spans="1:21" x14ac:dyDescent="0.3">
      <c r="A234" s="1">
        <v>45524</v>
      </c>
      <c r="B234">
        <v>152</v>
      </c>
      <c r="C234">
        <v>2032.41423345775</v>
      </c>
      <c r="D234">
        <v>3282.8536254228702</v>
      </c>
      <c r="E234">
        <v>76</v>
      </c>
      <c r="F234">
        <v>76</v>
      </c>
      <c r="K234">
        <v>0.53625247665437004</v>
      </c>
      <c r="L234">
        <v>1.62143294034374</v>
      </c>
      <c r="M234">
        <v>0.24929156752270701</v>
      </c>
      <c r="N234">
        <v>5482</v>
      </c>
      <c r="R234">
        <v>4572431</v>
      </c>
      <c r="T234">
        <v>3476851</v>
      </c>
    </row>
    <row r="235" spans="1:21" x14ac:dyDescent="0.3">
      <c r="A235" s="1">
        <v>45525</v>
      </c>
      <c r="B235">
        <v>131</v>
      </c>
      <c r="C235">
        <v>1920.8933387151801</v>
      </c>
      <c r="D235">
        <v>4677.0140043594502</v>
      </c>
      <c r="E235">
        <v>51</v>
      </c>
      <c r="F235">
        <v>51</v>
      </c>
      <c r="K235">
        <v>0.57903075400050896</v>
      </c>
      <c r="L235">
        <v>1.4583891870703201</v>
      </c>
      <c r="M235">
        <v>0.25215968208991901</v>
      </c>
      <c r="N235">
        <v>7158</v>
      </c>
      <c r="R235">
        <v>2394686</v>
      </c>
      <c r="T235">
        <v>3806690</v>
      </c>
    </row>
    <row r="236" spans="1:21" x14ac:dyDescent="0.3">
      <c r="A236" s="1">
        <v>45526</v>
      </c>
      <c r="B236">
        <v>124</v>
      </c>
      <c r="C236">
        <v>1890.8056677207401</v>
      </c>
      <c r="D236">
        <v>5085.4261980909896</v>
      </c>
      <c r="E236">
        <v>55</v>
      </c>
      <c r="F236">
        <v>55</v>
      </c>
      <c r="K236">
        <v>0.50326973027305599</v>
      </c>
      <c r="L236">
        <v>1.5932730099336501</v>
      </c>
      <c r="M236">
        <v>0.24508296567711399</v>
      </c>
      <c r="N236">
        <v>7621</v>
      </c>
      <c r="R236">
        <v>1742804</v>
      </c>
      <c r="T236">
        <v>3964505</v>
      </c>
    </row>
    <row r="237" spans="1:21" x14ac:dyDescent="0.3">
      <c r="A237" s="1">
        <v>45527</v>
      </c>
      <c r="B237">
        <v>82</v>
      </c>
      <c r="C237">
        <v>1805.4407189814699</v>
      </c>
      <c r="D237">
        <v>2748.8460133302901</v>
      </c>
      <c r="E237">
        <v>24</v>
      </c>
      <c r="F237">
        <v>24</v>
      </c>
      <c r="K237">
        <v>0.50332628406809998</v>
      </c>
      <c r="L237">
        <v>1.4054326321530199</v>
      </c>
      <c r="M237">
        <v>0.26098599942946399</v>
      </c>
      <c r="N237">
        <v>4251</v>
      </c>
      <c r="R237">
        <v>1163004</v>
      </c>
      <c r="T237">
        <v>3053986</v>
      </c>
    </row>
    <row r="238" spans="1:21" x14ac:dyDescent="0.3">
      <c r="A238" s="1">
        <v>45528</v>
      </c>
      <c r="B238">
        <v>186</v>
      </c>
      <c r="C238">
        <v>2154.5182332158101</v>
      </c>
      <c r="D238">
        <v>9545.6033820010907</v>
      </c>
      <c r="E238">
        <v>76</v>
      </c>
      <c r="F238">
        <v>76</v>
      </c>
      <c r="K238">
        <v>0.65349722968776403</v>
      </c>
      <c r="L238">
        <v>1.49706922115376</v>
      </c>
      <c r="M238">
        <v>0.248915701927058</v>
      </c>
      <c r="N238">
        <v>14081</v>
      </c>
      <c r="R238">
        <v>978254</v>
      </c>
      <c r="T238">
        <v>9159302</v>
      </c>
      <c r="U238">
        <v>153667</v>
      </c>
    </row>
    <row r="239" spans="1:21" x14ac:dyDescent="0.3">
      <c r="A239" s="1">
        <v>45529</v>
      </c>
      <c r="B239">
        <v>27</v>
      </c>
      <c r="C239">
        <v>1634.1068974488901</v>
      </c>
      <c r="D239">
        <v>1130.8914435588299</v>
      </c>
      <c r="E239">
        <v>2</v>
      </c>
      <c r="F239">
        <v>2</v>
      </c>
      <c r="K239">
        <v>0.65369435591965597</v>
      </c>
      <c r="L239">
        <v>1.2354227932670201</v>
      </c>
      <c r="M239">
        <v>0.28273483271525301</v>
      </c>
      <c r="N239">
        <v>1784</v>
      </c>
      <c r="T239">
        <v>1225765</v>
      </c>
    </row>
    <row r="240" spans="1:21" x14ac:dyDescent="0.3">
      <c r="A240" s="1">
        <v>45530</v>
      </c>
      <c r="B240">
        <v>218</v>
      </c>
      <c r="C240">
        <v>2134.6605308817202</v>
      </c>
      <c r="D240">
        <v>9788.0824542196297</v>
      </c>
      <c r="E240">
        <v>71</v>
      </c>
      <c r="F240">
        <v>71</v>
      </c>
      <c r="K240">
        <v>0.65024631030755298</v>
      </c>
      <c r="L240">
        <v>1.47887554764331</v>
      </c>
      <c r="M240">
        <v>0.25830786258570498</v>
      </c>
      <c r="N240">
        <v>14651</v>
      </c>
      <c r="R240">
        <v>1757818</v>
      </c>
      <c r="T240">
        <v>8321205</v>
      </c>
    </row>
    <row r="241" spans="1:21" x14ac:dyDescent="0.3">
      <c r="A241" s="1">
        <v>45531</v>
      </c>
      <c r="B241">
        <v>127</v>
      </c>
      <c r="C241">
        <v>1975.39543875291</v>
      </c>
      <c r="D241">
        <v>4761.2435261896399</v>
      </c>
      <c r="E241">
        <v>55</v>
      </c>
      <c r="F241">
        <v>55</v>
      </c>
      <c r="K241">
        <v>0.42238947229614299</v>
      </c>
      <c r="L241">
        <v>1.52634296365397</v>
      </c>
      <c r="M241">
        <v>0.250010343545708</v>
      </c>
      <c r="N241">
        <v>7393</v>
      </c>
      <c r="R241">
        <v>2189926</v>
      </c>
      <c r="T241">
        <v>5003049</v>
      </c>
    </row>
    <row r="242" spans="1:21" x14ac:dyDescent="0.3">
      <c r="A242" s="1">
        <v>45532</v>
      </c>
      <c r="B242">
        <v>139</v>
      </c>
      <c r="C242">
        <v>1930.44580370789</v>
      </c>
      <c r="D242">
        <v>6627.3618024069601</v>
      </c>
      <c r="E242">
        <v>59</v>
      </c>
      <c r="F242">
        <v>59</v>
      </c>
      <c r="K242">
        <v>0.68343472613090395</v>
      </c>
      <c r="L242">
        <v>1.8553719630641199</v>
      </c>
      <c r="M242">
        <v>0.26098599942946399</v>
      </c>
      <c r="N242">
        <v>9722</v>
      </c>
      <c r="R242">
        <v>1093181</v>
      </c>
      <c r="T242">
        <v>5370247</v>
      </c>
    </row>
    <row r="243" spans="1:21" x14ac:dyDescent="0.3">
      <c r="A243" s="1">
        <v>45533</v>
      </c>
      <c r="B243">
        <v>131</v>
      </c>
      <c r="C243">
        <v>1982.45573601505</v>
      </c>
      <c r="D243">
        <v>4576.1344012011996</v>
      </c>
      <c r="E243">
        <v>64</v>
      </c>
      <c r="F243">
        <v>64</v>
      </c>
      <c r="K243">
        <v>0.479099575993715</v>
      </c>
      <c r="L243">
        <v>1.72224950580257</v>
      </c>
      <c r="M243">
        <v>0.25011158278656997</v>
      </c>
      <c r="N243">
        <v>6776</v>
      </c>
      <c r="R243">
        <v>2696408</v>
      </c>
      <c r="T243">
        <v>4587851</v>
      </c>
    </row>
    <row r="244" spans="1:21" x14ac:dyDescent="0.3">
      <c r="A244" s="1">
        <v>45534</v>
      </c>
      <c r="B244">
        <v>142</v>
      </c>
      <c r="C244">
        <v>1980.5151014385399</v>
      </c>
      <c r="D244">
        <v>7423.9294071654203</v>
      </c>
      <c r="E244">
        <v>57</v>
      </c>
      <c r="F244">
        <v>57</v>
      </c>
      <c r="K244">
        <v>0.59028430017634304</v>
      </c>
      <c r="L244">
        <v>2.2365855954874001</v>
      </c>
      <c r="M244">
        <v>0.25011158278656997</v>
      </c>
      <c r="N244">
        <v>10884</v>
      </c>
      <c r="R244">
        <v>900530</v>
      </c>
      <c r="T244">
        <v>5887672</v>
      </c>
      <c r="U244">
        <v>256101</v>
      </c>
    </row>
    <row r="245" spans="1:21" x14ac:dyDescent="0.3">
      <c r="A245" s="1">
        <v>45535</v>
      </c>
      <c r="B245">
        <v>89</v>
      </c>
      <c r="C245">
        <v>1910.6087675229101</v>
      </c>
      <c r="D245">
        <v>2994.65548578782</v>
      </c>
      <c r="E245">
        <v>41</v>
      </c>
      <c r="F245">
        <v>41</v>
      </c>
      <c r="K245">
        <v>0.417440143613236</v>
      </c>
      <c r="L245">
        <v>1.47204461919483</v>
      </c>
      <c r="M245">
        <v>0.26816314020702198</v>
      </c>
      <c r="N245">
        <v>4667</v>
      </c>
      <c r="R245">
        <v>2008372</v>
      </c>
      <c r="T245">
        <v>4035520</v>
      </c>
    </row>
    <row r="246" spans="1:21" x14ac:dyDescent="0.3">
      <c r="A246" s="1">
        <v>45536</v>
      </c>
      <c r="B246">
        <v>27</v>
      </c>
      <c r="C246">
        <v>1641.39290903236</v>
      </c>
      <c r="D246">
        <v>1657.15251765059</v>
      </c>
      <c r="E246">
        <v>4</v>
      </c>
      <c r="F246">
        <v>4</v>
      </c>
      <c r="K246">
        <v>0.67072505337275701</v>
      </c>
      <c r="L246">
        <v>1.3886876057413799</v>
      </c>
      <c r="M246">
        <v>0.29360924935814697</v>
      </c>
      <c r="N246">
        <v>2428</v>
      </c>
      <c r="T246">
        <v>1356414</v>
      </c>
    </row>
    <row r="247" spans="1:21" x14ac:dyDescent="0.3">
      <c r="A247" s="1">
        <v>45537</v>
      </c>
      <c r="B247">
        <v>101</v>
      </c>
      <c r="C247">
        <v>1894.4140706793801</v>
      </c>
      <c r="D247">
        <v>3501.6811619370201</v>
      </c>
      <c r="E247">
        <v>51</v>
      </c>
      <c r="F247">
        <v>51</v>
      </c>
      <c r="K247">
        <v>0.59624524806788004</v>
      </c>
      <c r="L247">
        <v>1.46885244837503</v>
      </c>
      <c r="M247">
        <v>0.26291326063561998</v>
      </c>
      <c r="N247">
        <v>5397</v>
      </c>
      <c r="R247">
        <v>2312744</v>
      </c>
      <c r="T247">
        <v>3419524</v>
      </c>
    </row>
    <row r="248" spans="1:21" x14ac:dyDescent="0.3">
      <c r="A248" s="1">
        <v>45538</v>
      </c>
      <c r="B248">
        <v>148</v>
      </c>
      <c r="C248">
        <v>1992.1079614442499</v>
      </c>
      <c r="D248">
        <v>7355.4844235059199</v>
      </c>
      <c r="E248">
        <v>57</v>
      </c>
      <c r="F248">
        <v>57</v>
      </c>
      <c r="K248">
        <v>0.72900128184750701</v>
      </c>
      <c r="L248">
        <v>1.8014786939286001</v>
      </c>
      <c r="M248">
        <v>0.29360924935814697</v>
      </c>
      <c r="N248">
        <v>10860</v>
      </c>
      <c r="R248">
        <v>904368</v>
      </c>
      <c r="T248">
        <v>6677944</v>
      </c>
    </row>
    <row r="249" spans="1:21" x14ac:dyDescent="0.3">
      <c r="A249" s="1">
        <v>45539</v>
      </c>
      <c r="B249">
        <v>96</v>
      </c>
      <c r="C249">
        <v>1898.3527385155701</v>
      </c>
      <c r="D249">
        <v>3335.71874154125</v>
      </c>
      <c r="E249">
        <v>40</v>
      </c>
      <c r="F249">
        <v>40</v>
      </c>
      <c r="K249">
        <v>0.42128782733912901</v>
      </c>
      <c r="L249">
        <v>1.41040210106929</v>
      </c>
      <c r="M249">
        <v>0.25127376963627901</v>
      </c>
      <c r="N249">
        <v>5130</v>
      </c>
      <c r="R249">
        <v>1623810</v>
      </c>
      <c r="T249">
        <v>4227127</v>
      </c>
    </row>
    <row r="250" spans="1:21" x14ac:dyDescent="0.3">
      <c r="A250" s="1">
        <v>45540</v>
      </c>
      <c r="B250">
        <v>160</v>
      </c>
      <c r="C250">
        <v>1945.7666957592201</v>
      </c>
      <c r="D250">
        <v>6405.9524153517696</v>
      </c>
      <c r="E250">
        <v>47</v>
      </c>
      <c r="F250">
        <v>47</v>
      </c>
      <c r="K250">
        <v>0.59016656607977303</v>
      </c>
      <c r="L250">
        <v>1.5204292174096199</v>
      </c>
      <c r="M250">
        <v>0.26098599942946399</v>
      </c>
      <c r="N250">
        <v>9761</v>
      </c>
      <c r="R250">
        <v>1578408</v>
      </c>
      <c r="T250">
        <v>5125914</v>
      </c>
    </row>
    <row r="251" spans="1:21" x14ac:dyDescent="0.3">
      <c r="A251" s="1">
        <v>45541</v>
      </c>
      <c r="B251">
        <v>112</v>
      </c>
      <c r="C251">
        <v>1926.7591987456201</v>
      </c>
      <c r="D251">
        <v>5186.2514439408196</v>
      </c>
      <c r="E251">
        <v>45</v>
      </c>
      <c r="F251">
        <v>45</v>
      </c>
      <c r="K251">
        <v>0.60326363524349103</v>
      </c>
      <c r="L251">
        <v>1.4905027039666301</v>
      </c>
      <c r="M251">
        <v>0.25011158278656997</v>
      </c>
      <c r="N251">
        <v>7671</v>
      </c>
      <c r="R251">
        <v>1093454</v>
      </c>
      <c r="T251">
        <v>5303846</v>
      </c>
    </row>
    <row r="252" spans="1:21" x14ac:dyDescent="0.3">
      <c r="A252" s="1">
        <v>45542</v>
      </c>
      <c r="B252">
        <v>63</v>
      </c>
      <c r="C252">
        <v>1843.84368998387</v>
      </c>
      <c r="D252">
        <v>1345.38107861653</v>
      </c>
      <c r="E252">
        <v>34</v>
      </c>
      <c r="F252">
        <v>34</v>
      </c>
      <c r="K252">
        <v>0.432887519719449</v>
      </c>
      <c r="L252">
        <v>1.41174119657826</v>
      </c>
      <c r="M252">
        <v>0.29360924935814697</v>
      </c>
      <c r="N252">
        <v>2314</v>
      </c>
      <c r="R252">
        <v>2180674</v>
      </c>
      <c r="T252">
        <v>2653984</v>
      </c>
    </row>
    <row r="253" spans="1:21" x14ac:dyDescent="0.3">
      <c r="A253" s="1">
        <v>45543</v>
      </c>
      <c r="B253">
        <v>104</v>
      </c>
      <c r="C253">
        <v>1817.4838904074099</v>
      </c>
      <c r="D253">
        <v>4431.72304833821</v>
      </c>
      <c r="E253">
        <v>20</v>
      </c>
      <c r="F253">
        <v>20</v>
      </c>
      <c r="K253">
        <v>0.55077289569258203</v>
      </c>
      <c r="L253">
        <v>1.9753696495434401</v>
      </c>
      <c r="M253">
        <v>0.24890044502238801</v>
      </c>
      <c r="N253">
        <v>6885</v>
      </c>
      <c r="R253">
        <v>646956</v>
      </c>
      <c r="T253">
        <v>3821976</v>
      </c>
    </row>
    <row r="254" spans="1:21" x14ac:dyDescent="0.3">
      <c r="A254" s="1">
        <v>45544</v>
      </c>
      <c r="B254">
        <v>157</v>
      </c>
      <c r="C254">
        <v>2039.6734127274799</v>
      </c>
      <c r="D254">
        <v>6080.6600795138302</v>
      </c>
      <c r="E254">
        <v>56</v>
      </c>
      <c r="F254">
        <v>56</v>
      </c>
      <c r="K254">
        <v>0.64618570244574203</v>
      </c>
      <c r="L254">
        <v>1.58589023406421</v>
      </c>
      <c r="M254">
        <v>0.271860416072358</v>
      </c>
      <c r="N254">
        <v>9408</v>
      </c>
      <c r="R254">
        <v>2182632</v>
      </c>
      <c r="T254">
        <v>6163476</v>
      </c>
    </row>
    <row r="255" spans="1:21" x14ac:dyDescent="0.3">
      <c r="A255" s="1">
        <v>45545</v>
      </c>
      <c r="B255">
        <v>184</v>
      </c>
      <c r="C255">
        <v>2185.13336368522</v>
      </c>
      <c r="D255">
        <v>7850.5660383387403</v>
      </c>
      <c r="E255">
        <v>115</v>
      </c>
      <c r="F255">
        <v>115</v>
      </c>
      <c r="K255">
        <v>0.45194781659400901</v>
      </c>
      <c r="L255">
        <v>1.5024010130444201</v>
      </c>
      <c r="M255">
        <v>0.25011158278656997</v>
      </c>
      <c r="N255">
        <v>11460</v>
      </c>
      <c r="R255">
        <v>3318781</v>
      </c>
      <c r="T255">
        <v>7556456</v>
      </c>
    </row>
    <row r="256" spans="1:21" x14ac:dyDescent="0.3">
      <c r="A256" s="1">
        <v>45546</v>
      </c>
      <c r="B256">
        <v>118</v>
      </c>
      <c r="C256">
        <v>1895.8106702846501</v>
      </c>
      <c r="D256">
        <v>4110.7038166983502</v>
      </c>
      <c r="E256">
        <v>45</v>
      </c>
      <c r="F256">
        <v>45</v>
      </c>
      <c r="K256">
        <v>0.54081686397600004</v>
      </c>
      <c r="L256">
        <v>1.39353205019382</v>
      </c>
      <c r="M256">
        <v>0.28273483271525301</v>
      </c>
      <c r="N256">
        <v>6349</v>
      </c>
      <c r="R256">
        <v>2181054</v>
      </c>
      <c r="T256">
        <v>3585440</v>
      </c>
    </row>
    <row r="257" spans="1:21" x14ac:dyDescent="0.3">
      <c r="A257" s="1">
        <v>45547</v>
      </c>
      <c r="B257">
        <v>151</v>
      </c>
      <c r="C257">
        <v>2008.4660918805901</v>
      </c>
      <c r="D257">
        <v>6610.2009039322402</v>
      </c>
      <c r="E257">
        <v>65</v>
      </c>
      <c r="F257">
        <v>64</v>
      </c>
      <c r="K257">
        <v>0.60414981910986298</v>
      </c>
      <c r="L257">
        <v>2.0593529445756902</v>
      </c>
      <c r="M257">
        <v>0.26098599942946399</v>
      </c>
      <c r="N257">
        <v>9961</v>
      </c>
      <c r="R257">
        <v>1777841</v>
      </c>
      <c r="T257">
        <v>5844163</v>
      </c>
      <c r="U257">
        <v>84156</v>
      </c>
    </row>
    <row r="258" spans="1:21" x14ac:dyDescent="0.3">
      <c r="A258" s="1">
        <v>45548</v>
      </c>
      <c r="B258">
        <v>103</v>
      </c>
      <c r="C258">
        <v>1854.2227994693301</v>
      </c>
      <c r="D258">
        <v>5239.3871983839599</v>
      </c>
      <c r="E258">
        <v>35</v>
      </c>
      <c r="F258">
        <v>35</v>
      </c>
      <c r="K258">
        <v>0.43385231222718601</v>
      </c>
      <c r="L258">
        <v>1.5008823392408199</v>
      </c>
      <c r="M258">
        <v>0.25774089969328201</v>
      </c>
      <c r="N258">
        <v>8125</v>
      </c>
      <c r="R258">
        <v>473141</v>
      </c>
      <c r="T258">
        <v>4666709</v>
      </c>
    </row>
    <row r="259" spans="1:21" x14ac:dyDescent="0.3">
      <c r="A259" s="1">
        <v>45549</v>
      </c>
      <c r="B259">
        <v>149</v>
      </c>
      <c r="C259">
        <v>2033.12317003925</v>
      </c>
      <c r="D259">
        <v>4548.0224549966797</v>
      </c>
      <c r="E259">
        <v>60</v>
      </c>
      <c r="F259">
        <v>60</v>
      </c>
      <c r="K259">
        <v>0.44934870382039299</v>
      </c>
      <c r="L259">
        <v>1.54034039638356</v>
      </c>
      <c r="M259">
        <v>0.24568079035104801</v>
      </c>
      <c r="N259">
        <v>7603</v>
      </c>
      <c r="R259">
        <v>3304195</v>
      </c>
      <c r="T259">
        <v>4846241</v>
      </c>
    </row>
    <row r="260" spans="1:21" x14ac:dyDescent="0.3">
      <c r="A260" s="1">
        <v>45550</v>
      </c>
      <c r="B260">
        <v>222</v>
      </c>
      <c r="C260">
        <v>2207.7265033728499</v>
      </c>
      <c r="D260">
        <v>8952.6357260634795</v>
      </c>
      <c r="E260">
        <v>144</v>
      </c>
      <c r="F260">
        <v>125</v>
      </c>
      <c r="K260">
        <v>0.64815665488706398</v>
      </c>
      <c r="L260">
        <v>2.3929193883724298</v>
      </c>
      <c r="M260">
        <v>0.25011158278656997</v>
      </c>
      <c r="N260">
        <v>12879</v>
      </c>
      <c r="R260">
        <v>4747291</v>
      </c>
      <c r="T260">
        <v>6406929</v>
      </c>
    </row>
    <row r="261" spans="1:21" x14ac:dyDescent="0.3">
      <c r="A261" s="1">
        <v>45551</v>
      </c>
      <c r="B261">
        <v>155</v>
      </c>
      <c r="C261">
        <v>1875.3916182596599</v>
      </c>
      <c r="D261">
        <v>6003.2596230484696</v>
      </c>
      <c r="E261">
        <v>50</v>
      </c>
      <c r="F261">
        <v>50</v>
      </c>
      <c r="K261">
        <v>0.53917810815246303</v>
      </c>
      <c r="L261">
        <v>1.6442827027740801</v>
      </c>
      <c r="M261">
        <v>0.25011158278656997</v>
      </c>
      <c r="N261">
        <v>9182</v>
      </c>
      <c r="R261">
        <v>1359799</v>
      </c>
      <c r="T261">
        <v>4097816</v>
      </c>
    </row>
    <row r="262" spans="1:21" x14ac:dyDescent="0.3">
      <c r="A262" s="1">
        <v>45552</v>
      </c>
      <c r="B262">
        <v>132</v>
      </c>
      <c r="C262">
        <v>1951.68991811152</v>
      </c>
      <c r="D262">
        <v>4124.0011900723703</v>
      </c>
      <c r="E262">
        <v>70</v>
      </c>
      <c r="F262">
        <v>70</v>
      </c>
      <c r="K262">
        <v>0.52225963781548401</v>
      </c>
      <c r="L262">
        <v>1.4219186786058999</v>
      </c>
      <c r="M262">
        <v>0.28273483271525301</v>
      </c>
      <c r="N262">
        <v>6302</v>
      </c>
      <c r="R262">
        <v>3106678</v>
      </c>
      <c r="T262">
        <v>3597288</v>
      </c>
    </row>
    <row r="263" spans="1:21" x14ac:dyDescent="0.3">
      <c r="A263" s="1">
        <v>45553</v>
      </c>
      <c r="B263">
        <v>104</v>
      </c>
      <c r="C263">
        <v>1844.19869450482</v>
      </c>
      <c r="D263">
        <v>2913.2957188649998</v>
      </c>
      <c r="E263">
        <v>43</v>
      </c>
      <c r="F263">
        <v>43</v>
      </c>
      <c r="K263">
        <v>0.59578542439974402</v>
      </c>
      <c r="L263">
        <v>1.40300013950673</v>
      </c>
      <c r="M263">
        <v>0.26098599942946399</v>
      </c>
      <c r="N263">
        <v>4707</v>
      </c>
      <c r="R263">
        <v>2444904</v>
      </c>
      <c r="T263">
        <v>2377696</v>
      </c>
    </row>
    <row r="264" spans="1:21" x14ac:dyDescent="0.3">
      <c r="A264" s="1">
        <v>45554</v>
      </c>
      <c r="B264">
        <v>126</v>
      </c>
      <c r="C264">
        <v>1918.4274454076201</v>
      </c>
      <c r="D264">
        <v>4195.6094507255402</v>
      </c>
      <c r="E264">
        <v>49</v>
      </c>
      <c r="F264">
        <v>49</v>
      </c>
      <c r="K264">
        <v>0.62491673962799599</v>
      </c>
      <c r="L264">
        <v>1.4686215132757801</v>
      </c>
      <c r="M264">
        <v>0.271860416072358</v>
      </c>
      <c r="N264">
        <v>6387</v>
      </c>
      <c r="R264">
        <v>2217400</v>
      </c>
      <c r="T264">
        <v>3952117</v>
      </c>
    </row>
    <row r="265" spans="1:21" x14ac:dyDescent="0.3">
      <c r="A265" s="1">
        <v>45555</v>
      </c>
      <c r="B265">
        <v>118</v>
      </c>
      <c r="C265">
        <v>1864.0151329508201</v>
      </c>
      <c r="D265">
        <v>5835.1206775916398</v>
      </c>
      <c r="E265">
        <v>43</v>
      </c>
      <c r="F265">
        <v>42</v>
      </c>
      <c r="K265">
        <v>0.58049588625034998</v>
      </c>
      <c r="L265">
        <v>2.1369305747652798</v>
      </c>
      <c r="M265">
        <v>0.26098599942946399</v>
      </c>
      <c r="N265">
        <v>8586</v>
      </c>
      <c r="R265">
        <v>605280</v>
      </c>
      <c r="T265">
        <v>4685471</v>
      </c>
    </row>
    <row r="266" spans="1:21" x14ac:dyDescent="0.3">
      <c r="A266" s="1">
        <v>45556</v>
      </c>
      <c r="B266">
        <v>71</v>
      </c>
      <c r="C266">
        <v>1819.7982640411101</v>
      </c>
      <c r="D266">
        <v>2313.1603933001802</v>
      </c>
      <c r="E266">
        <v>31</v>
      </c>
      <c r="F266">
        <v>31</v>
      </c>
      <c r="K266">
        <v>0.496544728795977</v>
      </c>
      <c r="L266">
        <v>1.51096523515064</v>
      </c>
      <c r="M266">
        <v>0.271860416072358</v>
      </c>
      <c r="N266">
        <v>3580</v>
      </c>
      <c r="R266">
        <v>1526816</v>
      </c>
      <c r="T266">
        <v>2922260</v>
      </c>
    </row>
    <row r="267" spans="1:21" x14ac:dyDescent="0.3">
      <c r="A267" s="1">
        <v>45557</v>
      </c>
      <c r="B267">
        <v>30</v>
      </c>
      <c r="C267">
        <v>1672.69354049353</v>
      </c>
      <c r="D267">
        <v>3006.17265648496</v>
      </c>
      <c r="E267">
        <v>43</v>
      </c>
      <c r="F267">
        <v>23</v>
      </c>
      <c r="K267">
        <v>0.89830305274589195</v>
      </c>
      <c r="L267">
        <v>2.24045482257783</v>
      </c>
      <c r="M267">
        <v>0.32623246588062499</v>
      </c>
      <c r="N267">
        <v>3772</v>
      </c>
      <c r="T267">
        <v>1651258</v>
      </c>
    </row>
    <row r="268" spans="1:21" x14ac:dyDescent="0.3">
      <c r="A268" s="1">
        <v>45558</v>
      </c>
      <c r="B268">
        <v>163</v>
      </c>
      <c r="C268">
        <v>2061.7062229621001</v>
      </c>
      <c r="D268">
        <v>4554.9867113544497</v>
      </c>
      <c r="E268">
        <v>76</v>
      </c>
      <c r="F268">
        <v>76</v>
      </c>
      <c r="K268">
        <v>0.49374589530082202</v>
      </c>
      <c r="L268">
        <v>1.56810995621226</v>
      </c>
      <c r="M268">
        <v>0.25011158278656997</v>
      </c>
      <c r="N268">
        <v>6948</v>
      </c>
      <c r="R268">
        <v>4048520</v>
      </c>
      <c r="T268">
        <v>4562554</v>
      </c>
    </row>
    <row r="269" spans="1:21" x14ac:dyDescent="0.3">
      <c r="A269" s="1">
        <v>45559</v>
      </c>
      <c r="B269">
        <v>133</v>
      </c>
      <c r="C269">
        <v>1906.31008101115</v>
      </c>
      <c r="D269">
        <v>3976.5579877561199</v>
      </c>
      <c r="E269">
        <v>52</v>
      </c>
      <c r="F269">
        <v>52</v>
      </c>
      <c r="K269">
        <v>0.57377854149456198</v>
      </c>
      <c r="L269">
        <v>1.68910701064932</v>
      </c>
      <c r="M269">
        <v>0.26644254178187099</v>
      </c>
      <c r="N269">
        <v>6190</v>
      </c>
      <c r="R269">
        <v>2636344</v>
      </c>
      <c r="T269">
        <v>3286674</v>
      </c>
    </row>
    <row r="270" spans="1:21" x14ac:dyDescent="0.3">
      <c r="A270" s="1">
        <v>45560</v>
      </c>
      <c r="B270">
        <v>136</v>
      </c>
      <c r="C270">
        <v>1974.8122379577701</v>
      </c>
      <c r="D270">
        <v>3755.3321799320902</v>
      </c>
      <c r="E270">
        <v>76</v>
      </c>
      <c r="F270">
        <v>76</v>
      </c>
      <c r="K270">
        <v>0.56042618209879802</v>
      </c>
      <c r="L270">
        <v>1.4474076221828001</v>
      </c>
      <c r="M270">
        <v>0.248945400943203</v>
      </c>
      <c r="N270">
        <v>5655</v>
      </c>
      <c r="R270">
        <v>3823936</v>
      </c>
      <c r="T270">
        <v>3244634</v>
      </c>
    </row>
    <row r="271" spans="1:21" x14ac:dyDescent="0.3">
      <c r="A271" s="1">
        <v>45561</v>
      </c>
      <c r="B271">
        <v>122</v>
      </c>
      <c r="C271">
        <v>1909.6322502912401</v>
      </c>
      <c r="D271">
        <v>4483.0723670440802</v>
      </c>
      <c r="E271">
        <v>52</v>
      </c>
      <c r="F271">
        <v>52</v>
      </c>
      <c r="K271">
        <v>0.484325227825668</v>
      </c>
      <c r="L271">
        <v>1.4685142520265699</v>
      </c>
      <c r="M271">
        <v>0.29360924935814697</v>
      </c>
      <c r="N271">
        <v>6796</v>
      </c>
      <c r="R271">
        <v>2036482</v>
      </c>
      <c r="T271">
        <v>3836038</v>
      </c>
      <c r="U271">
        <v>66330</v>
      </c>
    </row>
    <row r="272" spans="1:21" x14ac:dyDescent="0.3">
      <c r="A272" s="1">
        <v>45562</v>
      </c>
      <c r="B272">
        <v>174</v>
      </c>
      <c r="C272">
        <v>2120.36955604475</v>
      </c>
      <c r="D272">
        <v>5928.2568866142701</v>
      </c>
      <c r="E272">
        <v>108</v>
      </c>
      <c r="F272">
        <v>108</v>
      </c>
      <c r="K272">
        <v>0.478307765085835</v>
      </c>
      <c r="L272">
        <v>1.6139267977765299</v>
      </c>
      <c r="M272">
        <v>0.26098599942946399</v>
      </c>
      <c r="N272">
        <v>8711</v>
      </c>
      <c r="R272">
        <v>4317631</v>
      </c>
      <c r="T272">
        <v>5326618</v>
      </c>
    </row>
    <row r="273" spans="1:21" x14ac:dyDescent="0.3">
      <c r="A273" s="1">
        <v>45563</v>
      </c>
      <c r="B273">
        <v>64</v>
      </c>
      <c r="C273">
        <v>1753.17318197124</v>
      </c>
      <c r="D273">
        <v>4018.4025202142302</v>
      </c>
      <c r="E273">
        <v>29</v>
      </c>
      <c r="F273">
        <v>29</v>
      </c>
      <c r="K273">
        <v>0.46262856613629999</v>
      </c>
      <c r="L273">
        <v>1.98142114770433</v>
      </c>
      <c r="M273">
        <v>0.26098599942946399</v>
      </c>
      <c r="N273">
        <v>5864</v>
      </c>
      <c r="T273">
        <v>3360580</v>
      </c>
    </row>
    <row r="274" spans="1:21" x14ac:dyDescent="0.3">
      <c r="A274" s="1">
        <v>45564</v>
      </c>
      <c r="B274">
        <v>43</v>
      </c>
      <c r="C274">
        <v>1694.3384175101401</v>
      </c>
      <c r="D274">
        <v>2244.2457780677601</v>
      </c>
      <c r="E274">
        <v>15</v>
      </c>
      <c r="F274">
        <v>15</v>
      </c>
      <c r="K274">
        <v>0.58824393679658105</v>
      </c>
      <c r="L274">
        <v>1.4371170374878099</v>
      </c>
      <c r="M274">
        <v>0.25027974897550198</v>
      </c>
      <c r="N274">
        <v>3420</v>
      </c>
      <c r="T274">
        <v>2305825</v>
      </c>
    </row>
    <row r="275" spans="1:21" x14ac:dyDescent="0.3">
      <c r="A275" s="1">
        <v>45565</v>
      </c>
      <c r="B275">
        <v>97</v>
      </c>
      <c r="C275">
        <v>1898.4266004173001</v>
      </c>
      <c r="D275">
        <v>4883.9025803969298</v>
      </c>
      <c r="E275">
        <v>47</v>
      </c>
      <c r="F275">
        <v>47</v>
      </c>
      <c r="K275">
        <v>0.40620450031133898</v>
      </c>
      <c r="L275">
        <v>1.4524496325570999</v>
      </c>
      <c r="M275">
        <v>0.27046872975237901</v>
      </c>
      <c r="N275">
        <v>7133</v>
      </c>
      <c r="R275">
        <v>924423</v>
      </c>
      <c r="T275">
        <v>4976609</v>
      </c>
    </row>
    <row r="276" spans="1:21" x14ac:dyDescent="0.3">
      <c r="A276" s="1">
        <v>45566</v>
      </c>
      <c r="B276">
        <v>1</v>
      </c>
      <c r="C276">
        <v>1565.74999999999</v>
      </c>
      <c r="D276">
        <v>48.2824098944509</v>
      </c>
      <c r="K276">
        <v>0.40924032063994198</v>
      </c>
      <c r="L276">
        <v>0.51178569431929999</v>
      </c>
      <c r="M276">
        <v>0.326232478407951</v>
      </c>
      <c r="N276">
        <v>176</v>
      </c>
    </row>
    <row r="277" spans="1:21" x14ac:dyDescent="0.3">
      <c r="A277" s="1">
        <v>45567</v>
      </c>
      <c r="B277">
        <v>84</v>
      </c>
      <c r="C277">
        <v>1802.8756127009499</v>
      </c>
      <c r="D277">
        <v>5610.4673202075701</v>
      </c>
      <c r="E277">
        <v>49</v>
      </c>
      <c r="F277">
        <v>37</v>
      </c>
      <c r="K277">
        <v>0.52802784933708102</v>
      </c>
      <c r="L277">
        <v>2.40104801735778</v>
      </c>
      <c r="M277">
        <v>0.26098599942946399</v>
      </c>
      <c r="N277">
        <v>7814</v>
      </c>
      <c r="T277">
        <v>4107927</v>
      </c>
    </row>
    <row r="278" spans="1:21" x14ac:dyDescent="0.3">
      <c r="A278" s="1">
        <v>45568</v>
      </c>
      <c r="B278">
        <v>24</v>
      </c>
      <c r="C278">
        <v>1608.81909254941</v>
      </c>
      <c r="D278">
        <v>995.77518922523598</v>
      </c>
      <c r="E278">
        <v>4</v>
      </c>
      <c r="F278">
        <v>4</v>
      </c>
      <c r="K278">
        <v>0.50963773258348399</v>
      </c>
      <c r="L278">
        <v>1.31214496319411</v>
      </c>
      <c r="M278">
        <v>0.28637039113317803</v>
      </c>
      <c r="N278">
        <v>1631</v>
      </c>
      <c r="T278">
        <v>772308</v>
      </c>
    </row>
    <row r="279" spans="1:21" x14ac:dyDescent="0.3">
      <c r="A279" s="1">
        <v>45569</v>
      </c>
      <c r="B279">
        <v>137</v>
      </c>
      <c r="C279">
        <v>1964.76905490735</v>
      </c>
      <c r="D279">
        <v>6686.2759635419598</v>
      </c>
      <c r="E279">
        <v>66</v>
      </c>
      <c r="F279">
        <v>61</v>
      </c>
      <c r="K279">
        <v>0.58639986236874697</v>
      </c>
      <c r="L279">
        <v>2.1419470798304499</v>
      </c>
      <c r="M279">
        <v>0.25011158278656997</v>
      </c>
      <c r="N279">
        <v>9630</v>
      </c>
      <c r="R279">
        <v>1322286</v>
      </c>
      <c r="T279">
        <v>5685865</v>
      </c>
    </row>
    <row r="280" spans="1:21" x14ac:dyDescent="0.3">
      <c r="A280" s="1">
        <v>45570</v>
      </c>
      <c r="B280">
        <v>79</v>
      </c>
      <c r="C280">
        <v>1735.3687546189201</v>
      </c>
      <c r="D280">
        <v>2761.9258840020502</v>
      </c>
      <c r="E280">
        <v>22</v>
      </c>
      <c r="F280">
        <v>22</v>
      </c>
      <c r="K280">
        <v>0.55049276330901098</v>
      </c>
      <c r="L280">
        <v>2.2675273316476301</v>
      </c>
      <c r="M280">
        <v>0.26098599942946399</v>
      </c>
      <c r="N280">
        <v>4263</v>
      </c>
      <c r="R280">
        <v>989886</v>
      </c>
      <c r="T280">
        <v>1982660</v>
      </c>
    </row>
    <row r="281" spans="1:21" x14ac:dyDescent="0.3">
      <c r="A281" s="1">
        <v>45571</v>
      </c>
      <c r="B281">
        <v>162</v>
      </c>
      <c r="C281">
        <v>2123.81961028363</v>
      </c>
      <c r="D281">
        <v>4952.8377089559299</v>
      </c>
      <c r="E281">
        <v>79</v>
      </c>
      <c r="F281">
        <v>79</v>
      </c>
      <c r="K281">
        <v>0.66905148242927703</v>
      </c>
      <c r="L281">
        <v>1.5204929377049901</v>
      </c>
      <c r="M281">
        <v>0.25211268883793198</v>
      </c>
      <c r="N281">
        <v>7466</v>
      </c>
      <c r="R281">
        <v>3630349</v>
      </c>
      <c r="T281">
        <v>6123694</v>
      </c>
    </row>
    <row r="282" spans="1:21" x14ac:dyDescent="0.3">
      <c r="A282" s="1">
        <v>45572</v>
      </c>
      <c r="B282">
        <v>99</v>
      </c>
      <c r="C282">
        <v>1852.7863304483201</v>
      </c>
      <c r="D282">
        <v>3022.0437910218502</v>
      </c>
      <c r="E282">
        <v>34</v>
      </c>
      <c r="F282">
        <v>34</v>
      </c>
      <c r="K282">
        <v>0.45369947575074099</v>
      </c>
      <c r="L282">
        <v>1.7117313545084201</v>
      </c>
      <c r="M282">
        <v>0.25011158278656997</v>
      </c>
      <c r="N282">
        <v>4930</v>
      </c>
      <c r="R282">
        <v>1842071</v>
      </c>
      <c r="T282">
        <v>3176558</v>
      </c>
    </row>
    <row r="283" spans="1:21" x14ac:dyDescent="0.3">
      <c r="A283" s="1">
        <v>45573</v>
      </c>
      <c r="B283">
        <v>101</v>
      </c>
      <c r="C283">
        <v>1858.9930526942701</v>
      </c>
      <c r="D283">
        <v>3274.7442432376101</v>
      </c>
      <c r="E283">
        <v>40</v>
      </c>
      <c r="F283">
        <v>40</v>
      </c>
      <c r="K283">
        <v>0.44543060698637299</v>
      </c>
      <c r="L283">
        <v>1.6140016846448899</v>
      </c>
      <c r="M283">
        <v>0.26098599942946399</v>
      </c>
      <c r="N283">
        <v>5139</v>
      </c>
      <c r="R283">
        <v>1892058</v>
      </c>
      <c r="T283">
        <v>3234382</v>
      </c>
    </row>
    <row r="284" spans="1:21" x14ac:dyDescent="0.3">
      <c r="A284" s="1">
        <v>45574</v>
      </c>
      <c r="B284">
        <v>165</v>
      </c>
      <c r="C284">
        <v>1961.1457967799099</v>
      </c>
      <c r="D284">
        <v>7777.05837425958</v>
      </c>
      <c r="E284">
        <v>52</v>
      </c>
      <c r="F284">
        <v>43</v>
      </c>
      <c r="K284">
        <v>0.69262078529995097</v>
      </c>
      <c r="L284">
        <v>2.60267299414557</v>
      </c>
      <c r="M284">
        <v>0.25011158278656997</v>
      </c>
      <c r="N284">
        <v>11423</v>
      </c>
      <c r="R284">
        <v>878333</v>
      </c>
      <c r="T284">
        <v>5509944</v>
      </c>
      <c r="U284">
        <v>279744</v>
      </c>
    </row>
    <row r="285" spans="1:21" x14ac:dyDescent="0.3">
      <c r="A285" s="1">
        <v>45575</v>
      </c>
      <c r="B285">
        <v>215</v>
      </c>
      <c r="C285">
        <v>2256.27283131486</v>
      </c>
      <c r="D285">
        <v>9500.0762406552694</v>
      </c>
      <c r="E285">
        <v>121</v>
      </c>
      <c r="F285">
        <v>121</v>
      </c>
      <c r="K285">
        <v>0.625047230026747</v>
      </c>
      <c r="L285">
        <v>1.6965031792751299</v>
      </c>
      <c r="M285">
        <v>0.25011158278656997</v>
      </c>
      <c r="N285">
        <v>13839</v>
      </c>
      <c r="R285">
        <v>3639118</v>
      </c>
      <c r="T285">
        <v>8489442</v>
      </c>
    </row>
    <row r="286" spans="1:21" x14ac:dyDescent="0.3">
      <c r="A286" s="1">
        <v>45576</v>
      </c>
      <c r="B286">
        <v>59</v>
      </c>
      <c r="C286">
        <v>1766.3100732190801</v>
      </c>
      <c r="D286">
        <v>1709.3923916204101</v>
      </c>
      <c r="E286">
        <v>31</v>
      </c>
      <c r="F286">
        <v>31</v>
      </c>
      <c r="K286">
        <v>0.47835053138990302</v>
      </c>
      <c r="L286">
        <v>1.433427702166</v>
      </c>
      <c r="M286">
        <v>0.271860416072358</v>
      </c>
      <c r="N286">
        <v>2743</v>
      </c>
      <c r="R286">
        <v>1649178</v>
      </c>
      <c r="T286">
        <v>1832226</v>
      </c>
    </row>
    <row r="287" spans="1:21" x14ac:dyDescent="0.3">
      <c r="A287" s="1">
        <v>45577</v>
      </c>
      <c r="B287">
        <v>134</v>
      </c>
      <c r="C287">
        <v>1986.5380461904099</v>
      </c>
      <c r="D287">
        <v>6809.00197527825</v>
      </c>
      <c r="E287">
        <v>86</v>
      </c>
      <c r="F287">
        <v>66</v>
      </c>
      <c r="K287">
        <v>0.60771879275378504</v>
      </c>
      <c r="L287">
        <v>2.4038001198344601</v>
      </c>
      <c r="M287">
        <v>0.271860416072358</v>
      </c>
      <c r="N287">
        <v>9686</v>
      </c>
      <c r="R287">
        <v>1717252</v>
      </c>
      <c r="T287">
        <v>5681926</v>
      </c>
    </row>
    <row r="288" spans="1:21" x14ac:dyDescent="0.3">
      <c r="A288" s="1">
        <v>45578</v>
      </c>
      <c r="B288">
        <v>61</v>
      </c>
      <c r="C288">
        <v>1738.43320118923</v>
      </c>
      <c r="D288">
        <v>665.09162638014197</v>
      </c>
      <c r="E288">
        <v>41</v>
      </c>
      <c r="F288">
        <v>41</v>
      </c>
      <c r="K288">
        <v>0.73597805617837697</v>
      </c>
      <c r="L288">
        <v>1.38162943098649</v>
      </c>
      <c r="M288">
        <v>0.25011158278656997</v>
      </c>
      <c r="N288">
        <v>1033</v>
      </c>
      <c r="R288">
        <v>2488187</v>
      </c>
      <c r="T288">
        <v>434824</v>
      </c>
    </row>
    <row r="289" spans="1:21" x14ac:dyDescent="0.3">
      <c r="A289" s="1">
        <v>45579</v>
      </c>
      <c r="B289">
        <v>69</v>
      </c>
      <c r="C289">
        <v>1740.5220113493399</v>
      </c>
      <c r="D289">
        <v>2569.43725260066</v>
      </c>
      <c r="E289">
        <v>13</v>
      </c>
      <c r="F289">
        <v>13</v>
      </c>
      <c r="K289">
        <v>0.43370761564803001</v>
      </c>
      <c r="L289">
        <v>1.45154221135251</v>
      </c>
      <c r="M289">
        <v>0.29360924935814697</v>
      </c>
      <c r="N289">
        <v>4037</v>
      </c>
      <c r="R289">
        <v>578004</v>
      </c>
      <c r="T289">
        <v>2515669</v>
      </c>
    </row>
    <row r="290" spans="1:21" x14ac:dyDescent="0.3">
      <c r="A290" s="1">
        <v>45580</v>
      </c>
      <c r="B290">
        <v>119</v>
      </c>
      <c r="C290">
        <v>1928.57176870688</v>
      </c>
      <c r="D290">
        <v>4746.5176241664103</v>
      </c>
      <c r="E290">
        <v>44</v>
      </c>
      <c r="F290">
        <v>44</v>
      </c>
      <c r="K290">
        <v>0.58431897496238705</v>
      </c>
      <c r="L290">
        <v>1.52061347653124</v>
      </c>
      <c r="M290">
        <v>0.25011158278656997</v>
      </c>
      <c r="N290">
        <v>7036</v>
      </c>
      <c r="R290">
        <v>1336624</v>
      </c>
      <c r="T290">
        <v>5076224</v>
      </c>
    </row>
    <row r="291" spans="1:21" x14ac:dyDescent="0.3">
      <c r="A291" s="1">
        <v>45581</v>
      </c>
      <c r="B291">
        <v>64</v>
      </c>
      <c r="C291">
        <v>1758.39731653281</v>
      </c>
      <c r="D291">
        <v>2941.31510469573</v>
      </c>
      <c r="E291">
        <v>22</v>
      </c>
      <c r="F291">
        <v>22</v>
      </c>
      <c r="K291">
        <v>0.46096935572653303</v>
      </c>
      <c r="L291">
        <v>1.6063684700916301</v>
      </c>
      <c r="M291">
        <v>0.26098599942946399</v>
      </c>
      <c r="N291">
        <v>4668</v>
      </c>
      <c r="R291">
        <v>659127</v>
      </c>
      <c r="T291">
        <v>2749427</v>
      </c>
    </row>
    <row r="292" spans="1:21" x14ac:dyDescent="0.3">
      <c r="A292" s="1">
        <v>45582</v>
      </c>
      <c r="B292">
        <v>15</v>
      </c>
      <c r="C292">
        <v>1605.38423299189</v>
      </c>
      <c r="D292">
        <v>556.15762466356</v>
      </c>
      <c r="K292">
        <v>0.40019569996565202</v>
      </c>
      <c r="L292">
        <v>1.2503024574335999</v>
      </c>
      <c r="M292">
        <v>0.24879421099895299</v>
      </c>
      <c r="N292">
        <v>1035</v>
      </c>
      <c r="T292">
        <v>710714</v>
      </c>
    </row>
    <row r="293" spans="1:21" x14ac:dyDescent="0.3">
      <c r="A293" s="1">
        <v>45583</v>
      </c>
      <c r="B293">
        <v>156</v>
      </c>
      <c r="C293">
        <v>1970.57900087911</v>
      </c>
      <c r="D293">
        <v>5589.7487527296998</v>
      </c>
      <c r="E293">
        <v>78</v>
      </c>
      <c r="F293">
        <v>68</v>
      </c>
      <c r="K293">
        <v>0.49427028738210899</v>
      </c>
      <c r="L293">
        <v>2.4241999260608802</v>
      </c>
      <c r="M293">
        <v>0.26098599942946399</v>
      </c>
      <c r="N293">
        <v>7991</v>
      </c>
      <c r="R293">
        <v>2851428</v>
      </c>
      <c r="T293">
        <v>4150844</v>
      </c>
    </row>
    <row r="294" spans="1:21" x14ac:dyDescent="0.3">
      <c r="A294" s="1">
        <v>45584</v>
      </c>
      <c r="B294">
        <v>65</v>
      </c>
      <c r="C294">
        <v>1855.62199199003</v>
      </c>
      <c r="D294">
        <v>1814.9514740536599</v>
      </c>
      <c r="E294">
        <v>33</v>
      </c>
      <c r="F294">
        <v>33</v>
      </c>
      <c r="K294">
        <v>0.57221058236112399</v>
      </c>
      <c r="L294">
        <v>1.6389984634824899</v>
      </c>
      <c r="M294">
        <v>0.25011158278656997</v>
      </c>
      <c r="N294">
        <v>3077</v>
      </c>
      <c r="R294">
        <v>1766331</v>
      </c>
      <c r="T294">
        <v>3231014</v>
      </c>
      <c r="U294">
        <v>33803</v>
      </c>
    </row>
    <row r="295" spans="1:21" x14ac:dyDescent="0.3">
      <c r="A295" s="1">
        <v>45585</v>
      </c>
      <c r="B295">
        <v>100</v>
      </c>
      <c r="C295">
        <v>1652.7109086838</v>
      </c>
      <c r="D295">
        <v>4066.98998581653</v>
      </c>
      <c r="E295">
        <v>3</v>
      </c>
      <c r="F295">
        <v>3</v>
      </c>
      <c r="K295">
        <v>0.43666406496194698</v>
      </c>
      <c r="L295">
        <v>1.5537676317932001</v>
      </c>
      <c r="M295">
        <v>0.28273483271525301</v>
      </c>
      <c r="N295">
        <v>6622</v>
      </c>
      <c r="T295">
        <v>1559367</v>
      </c>
    </row>
    <row r="296" spans="1:21" x14ac:dyDescent="0.3">
      <c r="A296" s="1">
        <v>45586</v>
      </c>
      <c r="B296">
        <v>144</v>
      </c>
      <c r="C296">
        <v>2033.5051970679699</v>
      </c>
      <c r="D296">
        <v>5616.8665313679503</v>
      </c>
      <c r="E296">
        <v>73</v>
      </c>
      <c r="F296">
        <v>73</v>
      </c>
      <c r="K296">
        <v>0.54326241798420205</v>
      </c>
      <c r="L296">
        <v>1.6130178035060001</v>
      </c>
      <c r="M296">
        <v>0.26635536297512902</v>
      </c>
      <c r="N296">
        <v>8150</v>
      </c>
      <c r="R296">
        <v>2593345</v>
      </c>
      <c r="T296">
        <v>5613512</v>
      </c>
    </row>
    <row r="297" spans="1:21" x14ac:dyDescent="0.3">
      <c r="A297" s="1">
        <v>45587</v>
      </c>
      <c r="B297">
        <v>97</v>
      </c>
      <c r="C297">
        <v>1838.99442533765</v>
      </c>
      <c r="D297">
        <v>2938.2115077017902</v>
      </c>
      <c r="E297">
        <v>48</v>
      </c>
      <c r="F297">
        <v>48</v>
      </c>
      <c r="K297">
        <v>0.58030943140983604</v>
      </c>
      <c r="L297">
        <v>1.4556607737874701</v>
      </c>
      <c r="M297">
        <v>0.25011158278656997</v>
      </c>
      <c r="N297">
        <v>4483</v>
      </c>
      <c r="R297">
        <v>2333477</v>
      </c>
      <c r="T297">
        <v>2403569</v>
      </c>
    </row>
    <row r="298" spans="1:21" x14ac:dyDescent="0.3">
      <c r="A298" s="1">
        <v>45588</v>
      </c>
      <c r="B298">
        <v>88</v>
      </c>
      <c r="C298">
        <v>1851.5812218639501</v>
      </c>
      <c r="D298">
        <v>3124.15595112138</v>
      </c>
      <c r="E298">
        <v>40</v>
      </c>
      <c r="F298">
        <v>40</v>
      </c>
      <c r="K298">
        <v>0.55450351065077996</v>
      </c>
      <c r="L298">
        <v>2.10830079365949</v>
      </c>
      <c r="M298">
        <v>0.25011158278656997</v>
      </c>
      <c r="N298">
        <v>4807</v>
      </c>
      <c r="R298">
        <v>1669206</v>
      </c>
      <c r="T298">
        <v>3339867</v>
      </c>
    </row>
    <row r="299" spans="1:21" x14ac:dyDescent="0.3">
      <c r="A299" s="1">
        <v>45589</v>
      </c>
      <c r="B299">
        <v>88</v>
      </c>
      <c r="C299">
        <v>1858.5572261573</v>
      </c>
      <c r="D299">
        <v>3675.9663888916898</v>
      </c>
      <c r="E299">
        <v>41</v>
      </c>
      <c r="F299">
        <v>41</v>
      </c>
      <c r="K299">
        <v>0.93587600911817503</v>
      </c>
      <c r="L299">
        <v>1.7500700887988001</v>
      </c>
      <c r="M299">
        <v>0.25011158278656997</v>
      </c>
      <c r="N299">
        <v>5534</v>
      </c>
      <c r="R299">
        <v>1337537</v>
      </c>
      <c r="T299">
        <v>3819756</v>
      </c>
    </row>
    <row r="300" spans="1:21" x14ac:dyDescent="0.3">
      <c r="A300" s="1">
        <v>45590</v>
      </c>
      <c r="B300">
        <v>130</v>
      </c>
      <c r="C300">
        <v>1959.09295238155</v>
      </c>
      <c r="D300">
        <v>4722.3762106232998</v>
      </c>
      <c r="E300">
        <v>58</v>
      </c>
      <c r="F300">
        <v>58</v>
      </c>
      <c r="K300">
        <v>0.51622699277055095</v>
      </c>
      <c r="L300">
        <v>1.52093083418982</v>
      </c>
      <c r="M300">
        <v>0.25011158278656997</v>
      </c>
      <c r="N300">
        <v>7203</v>
      </c>
      <c r="R300">
        <v>2367310</v>
      </c>
      <c r="T300">
        <v>4520964</v>
      </c>
    </row>
    <row r="301" spans="1:21" x14ac:dyDescent="0.3">
      <c r="A301" s="1">
        <v>45591</v>
      </c>
      <c r="B301">
        <v>70</v>
      </c>
      <c r="C301">
        <v>1701.87509109807</v>
      </c>
      <c r="D301">
        <v>2558.1464039348398</v>
      </c>
      <c r="E301">
        <v>15</v>
      </c>
      <c r="F301">
        <v>15</v>
      </c>
      <c r="K301">
        <v>0.54991241828399995</v>
      </c>
      <c r="L301">
        <v>1.6300180957858701</v>
      </c>
      <c r="M301">
        <v>0.26098599942946399</v>
      </c>
      <c r="N301">
        <v>4030</v>
      </c>
      <c r="R301">
        <v>614566</v>
      </c>
      <c r="T301">
        <v>1783549</v>
      </c>
    </row>
    <row r="302" spans="1:21" x14ac:dyDescent="0.3">
      <c r="A302" s="1">
        <v>45592</v>
      </c>
      <c r="B302">
        <v>56</v>
      </c>
      <c r="C302">
        <v>1732.2061338319199</v>
      </c>
      <c r="D302">
        <v>3013.5457077504502</v>
      </c>
      <c r="E302">
        <v>20</v>
      </c>
      <c r="F302">
        <v>20</v>
      </c>
      <c r="K302">
        <v>0.400985575939244</v>
      </c>
      <c r="L302">
        <v>1.4050260926279099</v>
      </c>
      <c r="M302">
        <v>0.271860416072358</v>
      </c>
      <c r="N302">
        <v>4656</v>
      </c>
      <c r="T302">
        <v>2984863</v>
      </c>
    </row>
    <row r="303" spans="1:21" x14ac:dyDescent="0.3">
      <c r="A303" s="1">
        <v>45593</v>
      </c>
      <c r="B303">
        <v>109</v>
      </c>
      <c r="C303">
        <v>1908.98477491112</v>
      </c>
      <c r="D303">
        <v>3749.3865463162401</v>
      </c>
      <c r="E303">
        <v>54</v>
      </c>
      <c r="F303">
        <v>54</v>
      </c>
      <c r="K303">
        <v>0.46177585465139398</v>
      </c>
      <c r="L303">
        <v>1.4486839064291199</v>
      </c>
      <c r="M303">
        <v>0.266680311008892</v>
      </c>
      <c r="N303">
        <v>5639</v>
      </c>
      <c r="R303">
        <v>2223768</v>
      </c>
      <c r="T303">
        <v>3775985</v>
      </c>
    </row>
    <row r="304" spans="1:21" x14ac:dyDescent="0.3">
      <c r="A304" s="1">
        <v>45594</v>
      </c>
      <c r="C304">
        <v>1570.84423980613</v>
      </c>
      <c r="D304">
        <v>79.600729825986605</v>
      </c>
      <c r="K304">
        <v>0.38102050131561999</v>
      </c>
      <c r="L304">
        <v>0.45889356756075</v>
      </c>
      <c r="M304">
        <v>0.26098599942946399</v>
      </c>
      <c r="N304">
        <v>231</v>
      </c>
      <c r="T304">
        <v>91349</v>
      </c>
    </row>
    <row r="305" spans="1:21" x14ac:dyDescent="0.3">
      <c r="A305" s="1">
        <v>45595</v>
      </c>
      <c r="B305">
        <v>102</v>
      </c>
      <c r="C305">
        <v>1762.56594341447</v>
      </c>
      <c r="D305">
        <v>5135.2988944687104</v>
      </c>
      <c r="E305">
        <v>52</v>
      </c>
      <c r="F305">
        <v>32</v>
      </c>
      <c r="K305">
        <v>0.45941763654108603</v>
      </c>
      <c r="L305">
        <v>2.3367783416637899</v>
      </c>
      <c r="M305">
        <v>0.28273483271525301</v>
      </c>
      <c r="N305">
        <v>6999</v>
      </c>
      <c r="T305">
        <v>3453074</v>
      </c>
    </row>
    <row r="306" spans="1:21" x14ac:dyDescent="0.3">
      <c r="A306" s="1">
        <v>45596</v>
      </c>
      <c r="B306">
        <v>47</v>
      </c>
      <c r="C306">
        <v>1725.6176260059999</v>
      </c>
      <c r="D306">
        <v>2810.1839380868801</v>
      </c>
      <c r="E306">
        <v>16</v>
      </c>
      <c r="F306">
        <v>16</v>
      </c>
      <c r="K306">
        <v>0.44245770408280799</v>
      </c>
      <c r="L306">
        <v>1.7522174968192501</v>
      </c>
      <c r="M306">
        <v>0.25193109135531699</v>
      </c>
      <c r="N306">
        <v>4299</v>
      </c>
      <c r="T306">
        <v>2866719</v>
      </c>
    </row>
    <row r="307" spans="1:21" x14ac:dyDescent="0.3">
      <c r="A307" s="1">
        <v>45597</v>
      </c>
      <c r="B307">
        <v>119</v>
      </c>
      <c r="C307">
        <v>1728.83953149183</v>
      </c>
      <c r="D307">
        <v>5079.5670045472098</v>
      </c>
      <c r="E307">
        <v>33</v>
      </c>
      <c r="F307">
        <v>19</v>
      </c>
      <c r="K307">
        <v>0.44839874536843199</v>
      </c>
      <c r="L307">
        <v>2.2717521137529002</v>
      </c>
      <c r="M307">
        <v>0.271860416072358</v>
      </c>
      <c r="N307">
        <v>7547</v>
      </c>
      <c r="T307">
        <v>2611052</v>
      </c>
      <c r="U307">
        <v>136868</v>
      </c>
    </row>
    <row r="308" spans="1:21" x14ac:dyDescent="0.3">
      <c r="A308" s="1">
        <v>45598</v>
      </c>
      <c r="B308">
        <v>32</v>
      </c>
      <c r="C308">
        <v>1651.3852701388801</v>
      </c>
      <c r="D308">
        <v>685.43414036007005</v>
      </c>
      <c r="E308">
        <v>12</v>
      </c>
      <c r="F308">
        <v>12</v>
      </c>
      <c r="K308">
        <v>0.36672195937417101</v>
      </c>
      <c r="L308">
        <v>1.0007415577738299</v>
      </c>
      <c r="M308">
        <v>0.30448366600104099</v>
      </c>
      <c r="N308">
        <v>1255</v>
      </c>
      <c r="R308">
        <v>802990</v>
      </c>
      <c r="T308">
        <v>676610</v>
      </c>
    </row>
    <row r="309" spans="1:21" x14ac:dyDescent="0.3">
      <c r="A309" s="1">
        <v>45599</v>
      </c>
      <c r="B309">
        <v>73</v>
      </c>
      <c r="C309">
        <v>1758.72878086581</v>
      </c>
      <c r="D309">
        <v>3864.6222211494401</v>
      </c>
      <c r="E309">
        <v>24</v>
      </c>
      <c r="F309">
        <v>23</v>
      </c>
      <c r="K309">
        <v>0.58779518763577099</v>
      </c>
      <c r="L309">
        <v>1.9648941795383901</v>
      </c>
      <c r="M309">
        <v>0.26098599942946399</v>
      </c>
      <c r="N309">
        <v>5711</v>
      </c>
      <c r="T309">
        <v>3460460</v>
      </c>
    </row>
    <row r="310" spans="1:21" x14ac:dyDescent="0.3">
      <c r="A310" s="1">
        <v>45600</v>
      </c>
      <c r="B310">
        <v>152</v>
      </c>
      <c r="C310">
        <v>2035.4387956016999</v>
      </c>
      <c r="D310">
        <v>5760.5792783426296</v>
      </c>
      <c r="E310">
        <v>77</v>
      </c>
      <c r="F310">
        <v>73</v>
      </c>
      <c r="K310">
        <v>0.50777335738343699</v>
      </c>
      <c r="L310">
        <v>2.2362404864025298</v>
      </c>
      <c r="M310">
        <v>0.26098599942946399</v>
      </c>
      <c r="N310">
        <v>8394</v>
      </c>
      <c r="R310">
        <v>2716483</v>
      </c>
      <c r="T310">
        <v>5455329</v>
      </c>
    </row>
    <row r="311" spans="1:21" x14ac:dyDescent="0.3">
      <c r="A311" s="1">
        <v>45601</v>
      </c>
      <c r="B311">
        <v>189</v>
      </c>
      <c r="C311">
        <v>2234.7943624733798</v>
      </c>
      <c r="D311">
        <v>10064.440988528801</v>
      </c>
      <c r="E311">
        <v>149</v>
      </c>
      <c r="F311">
        <v>126</v>
      </c>
      <c r="K311">
        <v>0.58695629460813303</v>
      </c>
      <c r="L311">
        <v>2.3191369763992502</v>
      </c>
      <c r="M311">
        <v>0.26098599942946399</v>
      </c>
      <c r="N311">
        <v>13951</v>
      </c>
      <c r="R311">
        <v>3156290</v>
      </c>
      <c r="T311">
        <v>8504497</v>
      </c>
    </row>
    <row r="312" spans="1:21" x14ac:dyDescent="0.3">
      <c r="A312" s="1">
        <v>45602</v>
      </c>
      <c r="B312">
        <v>82</v>
      </c>
      <c r="C312">
        <v>1789.53440828162</v>
      </c>
      <c r="D312">
        <v>3796.9138256153601</v>
      </c>
      <c r="E312">
        <v>26</v>
      </c>
      <c r="F312">
        <v>26</v>
      </c>
      <c r="K312">
        <v>0.52176749098455799</v>
      </c>
      <c r="L312">
        <v>1.5265427962423399</v>
      </c>
      <c r="M312">
        <v>0.24901800068987201</v>
      </c>
      <c r="N312">
        <v>5715</v>
      </c>
      <c r="R312">
        <v>473340</v>
      </c>
      <c r="T312">
        <v>3506515</v>
      </c>
    </row>
    <row r="313" spans="1:21" x14ac:dyDescent="0.3">
      <c r="A313" s="1">
        <v>45603</v>
      </c>
      <c r="B313">
        <v>158</v>
      </c>
      <c r="C313">
        <v>2001.26932905954</v>
      </c>
      <c r="D313">
        <v>7373.3748951043399</v>
      </c>
      <c r="E313">
        <v>44</v>
      </c>
      <c r="F313">
        <v>44</v>
      </c>
      <c r="K313">
        <v>0.614031692407083</v>
      </c>
      <c r="L313">
        <v>1.6391023917099099</v>
      </c>
      <c r="M313">
        <v>0.24922366156928699</v>
      </c>
      <c r="N313">
        <v>11141</v>
      </c>
      <c r="R313">
        <v>945377</v>
      </c>
      <c r="T313">
        <v>6798210</v>
      </c>
    </row>
    <row r="314" spans="1:21" x14ac:dyDescent="0.3">
      <c r="A314" s="1">
        <v>45604</v>
      </c>
      <c r="B314">
        <v>183</v>
      </c>
      <c r="C314">
        <v>2182.3525916697799</v>
      </c>
      <c r="D314">
        <v>7726.0443849458397</v>
      </c>
      <c r="E314">
        <v>90</v>
      </c>
      <c r="F314">
        <v>90</v>
      </c>
      <c r="K314">
        <v>0.62667608812056896</v>
      </c>
      <c r="L314">
        <v>1.54444422501103</v>
      </c>
      <c r="M314">
        <v>0.32276915198286599</v>
      </c>
      <c r="N314">
        <v>11238</v>
      </c>
      <c r="R314">
        <v>2731281</v>
      </c>
      <c r="T314">
        <v>8135064</v>
      </c>
    </row>
    <row r="315" spans="1:21" x14ac:dyDescent="0.3">
      <c r="A315" s="1">
        <v>45605</v>
      </c>
      <c r="B315">
        <v>179</v>
      </c>
      <c r="C315">
        <v>2159.117614711</v>
      </c>
      <c r="D315">
        <v>8346.1546366330404</v>
      </c>
      <c r="E315">
        <v>97</v>
      </c>
      <c r="F315">
        <v>97</v>
      </c>
      <c r="K315">
        <v>0.66193445924145899</v>
      </c>
      <c r="L315">
        <v>1.48043396159192</v>
      </c>
      <c r="M315">
        <v>0.25011158278656997</v>
      </c>
      <c r="N315">
        <v>12098</v>
      </c>
      <c r="R315">
        <v>2667231</v>
      </c>
      <c r="T315">
        <v>7786933</v>
      </c>
    </row>
    <row r="316" spans="1:21" x14ac:dyDescent="0.3">
      <c r="A316" s="1">
        <v>45606</v>
      </c>
      <c r="B316">
        <v>37</v>
      </c>
      <c r="C316">
        <v>1706.5773609753301</v>
      </c>
      <c r="D316">
        <v>2240.1295796352501</v>
      </c>
      <c r="E316">
        <v>17</v>
      </c>
      <c r="F316">
        <v>17</v>
      </c>
      <c r="K316">
        <v>0.38574463096163802</v>
      </c>
      <c r="L316">
        <v>1.41289550939104</v>
      </c>
      <c r="M316">
        <v>0.25011158278656997</v>
      </c>
      <c r="N316">
        <v>3361</v>
      </c>
      <c r="T316">
        <v>2525292</v>
      </c>
    </row>
    <row r="317" spans="1:21" x14ac:dyDescent="0.3">
      <c r="A317" s="1">
        <v>45607</v>
      </c>
      <c r="B317">
        <v>92</v>
      </c>
      <c r="C317">
        <v>1807.11276321946</v>
      </c>
      <c r="D317">
        <v>2988.15422689046</v>
      </c>
      <c r="E317">
        <v>33</v>
      </c>
      <c r="F317">
        <v>33</v>
      </c>
      <c r="K317">
        <v>0.637719350787748</v>
      </c>
      <c r="L317">
        <v>1.4141465007979599</v>
      </c>
      <c r="M317">
        <v>0.32623246588062499</v>
      </c>
      <c r="N317">
        <v>4631</v>
      </c>
      <c r="R317">
        <v>1664866</v>
      </c>
      <c r="T317">
        <v>2547110</v>
      </c>
    </row>
    <row r="318" spans="1:21" x14ac:dyDescent="0.3">
      <c r="A318" s="1">
        <v>45608</v>
      </c>
      <c r="B318">
        <v>22</v>
      </c>
      <c r="C318">
        <v>1638.48369237618</v>
      </c>
      <c r="D318">
        <v>1032.6490560028001</v>
      </c>
      <c r="E318">
        <v>3</v>
      </c>
      <c r="F318">
        <v>3</v>
      </c>
      <c r="K318">
        <v>0.37105716394126398</v>
      </c>
      <c r="L318">
        <v>1.60953366923026</v>
      </c>
      <c r="M318">
        <v>0.259732113793886</v>
      </c>
      <c r="N318">
        <v>1691</v>
      </c>
      <c r="T318">
        <v>1304248</v>
      </c>
    </row>
    <row r="319" spans="1:21" x14ac:dyDescent="0.3">
      <c r="A319" s="1">
        <v>45609</v>
      </c>
      <c r="B319">
        <v>96</v>
      </c>
      <c r="C319">
        <v>1868.2789735884501</v>
      </c>
      <c r="D319">
        <v>3056.6336722024498</v>
      </c>
      <c r="E319">
        <v>52</v>
      </c>
      <c r="F319">
        <v>52</v>
      </c>
      <c r="K319">
        <v>0.50118283101855898</v>
      </c>
      <c r="L319">
        <v>1.5871554708396101</v>
      </c>
      <c r="M319">
        <v>0.27844637446555998</v>
      </c>
      <c r="N319">
        <v>4672</v>
      </c>
      <c r="R319">
        <v>2274224</v>
      </c>
      <c r="T319">
        <v>2992080</v>
      </c>
    </row>
    <row r="320" spans="1:21" x14ac:dyDescent="0.3">
      <c r="A320" s="1">
        <v>45610</v>
      </c>
      <c r="B320">
        <v>119</v>
      </c>
      <c r="C320">
        <v>1900.2898958199701</v>
      </c>
      <c r="D320">
        <v>5129.0192220173903</v>
      </c>
      <c r="E320">
        <v>66</v>
      </c>
      <c r="F320">
        <v>65</v>
      </c>
      <c r="K320">
        <v>0.62092962375713701</v>
      </c>
      <c r="L320">
        <v>1.7614451609670301</v>
      </c>
      <c r="M320">
        <v>0.24849895593641</v>
      </c>
      <c r="N320">
        <v>7474</v>
      </c>
      <c r="R320">
        <v>2081737</v>
      </c>
      <c r="T320">
        <v>3772005</v>
      </c>
    </row>
    <row r="321" spans="1:21" x14ac:dyDescent="0.3">
      <c r="A321" s="1">
        <v>45611</v>
      </c>
      <c r="B321">
        <v>1</v>
      </c>
      <c r="C321">
        <v>1565.75</v>
      </c>
      <c r="D321">
        <v>107.656724764654</v>
      </c>
      <c r="K321">
        <v>0.31581920549199999</v>
      </c>
      <c r="L321">
        <v>0.62609840985356402</v>
      </c>
      <c r="M321">
        <v>0.28273483271525301</v>
      </c>
      <c r="N321">
        <v>232</v>
      </c>
    </row>
    <row r="322" spans="1:21" x14ac:dyDescent="0.3">
      <c r="A322" s="1">
        <v>45612</v>
      </c>
      <c r="B322">
        <v>77</v>
      </c>
      <c r="C322">
        <v>1799.6188361857901</v>
      </c>
      <c r="D322">
        <v>2648.3735444598501</v>
      </c>
      <c r="E322">
        <v>42</v>
      </c>
      <c r="F322">
        <v>42</v>
      </c>
      <c r="K322">
        <v>0.64511397235756096</v>
      </c>
      <c r="L322">
        <v>1.4693784981005</v>
      </c>
      <c r="M322">
        <v>0.24669015625516999</v>
      </c>
      <c r="N322">
        <v>4088</v>
      </c>
      <c r="R322">
        <v>1823860</v>
      </c>
      <c r="T322">
        <v>2242648</v>
      </c>
    </row>
    <row r="323" spans="1:21" x14ac:dyDescent="0.3">
      <c r="A323" s="1">
        <v>45613</v>
      </c>
      <c r="B323">
        <v>31</v>
      </c>
      <c r="C323">
        <v>1621.0831168233599</v>
      </c>
      <c r="D323">
        <v>1224.47083569193</v>
      </c>
      <c r="E323">
        <v>4</v>
      </c>
      <c r="F323">
        <v>4</v>
      </c>
      <c r="K323">
        <v>0.44821341709648299</v>
      </c>
      <c r="L323">
        <v>1.35593334441568</v>
      </c>
      <c r="M323">
        <v>0.26098599942946399</v>
      </c>
      <c r="N323">
        <v>2020</v>
      </c>
      <c r="T323">
        <v>992224</v>
      </c>
    </row>
    <row r="324" spans="1:21" x14ac:dyDescent="0.3">
      <c r="A324" s="1">
        <v>45614</v>
      </c>
      <c r="B324">
        <v>72</v>
      </c>
      <c r="C324">
        <v>1763.43579804666</v>
      </c>
      <c r="D324">
        <v>2093.5973256195098</v>
      </c>
      <c r="E324">
        <v>17</v>
      </c>
      <c r="F324">
        <v>17</v>
      </c>
      <c r="K324">
        <v>0.43934452718480999</v>
      </c>
      <c r="L324">
        <v>1.4099101256872999</v>
      </c>
      <c r="M324">
        <v>0.28273483271525301</v>
      </c>
      <c r="N324">
        <v>3269</v>
      </c>
      <c r="R324">
        <v>1090767</v>
      </c>
      <c r="T324">
        <v>2378032</v>
      </c>
    </row>
    <row r="325" spans="1:21" x14ac:dyDescent="0.3">
      <c r="A325" s="1">
        <v>45615</v>
      </c>
      <c r="B325">
        <v>57</v>
      </c>
      <c r="C325">
        <v>1740.70589464319</v>
      </c>
      <c r="D325">
        <v>1758.0982731341801</v>
      </c>
      <c r="E325">
        <v>30</v>
      </c>
      <c r="F325">
        <v>30</v>
      </c>
      <c r="K325">
        <v>0.44207728940323898</v>
      </c>
      <c r="L325">
        <v>1.6543376799926499</v>
      </c>
      <c r="M325">
        <v>0.271860416072358</v>
      </c>
      <c r="N325">
        <v>2737</v>
      </c>
      <c r="R325">
        <v>1626444</v>
      </c>
      <c r="T325">
        <v>1397415</v>
      </c>
    </row>
    <row r="326" spans="1:21" x14ac:dyDescent="0.3">
      <c r="A326" s="1">
        <v>45616</v>
      </c>
      <c r="B326">
        <v>183</v>
      </c>
      <c r="C326">
        <v>2118.9879925640098</v>
      </c>
      <c r="D326">
        <v>9427.4864187597996</v>
      </c>
      <c r="E326">
        <v>80</v>
      </c>
      <c r="F326">
        <v>80</v>
      </c>
      <c r="K326">
        <v>0.76218265548081199</v>
      </c>
      <c r="L326">
        <v>1.5044248783582801</v>
      </c>
      <c r="M326">
        <v>0.25011158278656997</v>
      </c>
      <c r="N326">
        <v>13837</v>
      </c>
      <c r="R326">
        <v>960318</v>
      </c>
      <c r="T326">
        <v>8738455</v>
      </c>
      <c r="U326">
        <v>67607</v>
      </c>
    </row>
    <row r="327" spans="1:21" x14ac:dyDescent="0.3">
      <c r="A327" s="1">
        <v>45617</v>
      </c>
      <c r="B327">
        <v>90</v>
      </c>
      <c r="C327">
        <v>1794.23758312165</v>
      </c>
      <c r="D327">
        <v>3855.0580294937099</v>
      </c>
      <c r="E327">
        <v>40</v>
      </c>
      <c r="F327">
        <v>40</v>
      </c>
      <c r="K327">
        <v>0.597778376894335</v>
      </c>
      <c r="L327">
        <v>1.6013431509903799</v>
      </c>
      <c r="M327">
        <v>0.24839536162935999</v>
      </c>
      <c r="N327">
        <v>5797</v>
      </c>
      <c r="R327">
        <v>1261791</v>
      </c>
      <c r="T327">
        <v>2747417</v>
      </c>
    </row>
    <row r="328" spans="1:21" x14ac:dyDescent="0.3">
      <c r="A328" s="1">
        <v>45618</v>
      </c>
      <c r="B328">
        <v>86</v>
      </c>
      <c r="C328">
        <v>1783.56922613752</v>
      </c>
      <c r="D328">
        <v>3577.3434589448698</v>
      </c>
      <c r="E328">
        <v>19</v>
      </c>
      <c r="F328">
        <v>19</v>
      </c>
      <c r="K328">
        <v>0.41792407597338699</v>
      </c>
      <c r="L328">
        <v>1.5749600381637501</v>
      </c>
      <c r="M328">
        <v>0.25011158278656997</v>
      </c>
      <c r="N328">
        <v>5411</v>
      </c>
      <c r="R328">
        <v>591035</v>
      </c>
      <c r="T328">
        <v>3273645</v>
      </c>
    </row>
    <row r="329" spans="1:21" x14ac:dyDescent="0.3">
      <c r="A329" s="1">
        <v>45619</v>
      </c>
      <c r="B329">
        <v>145</v>
      </c>
      <c r="C329">
        <v>1974.0056546261001</v>
      </c>
      <c r="D329">
        <v>5925.9954365415197</v>
      </c>
      <c r="E329">
        <v>51</v>
      </c>
      <c r="F329">
        <v>51</v>
      </c>
      <c r="K329">
        <v>0.60383925330504695</v>
      </c>
      <c r="L329">
        <v>1.4564448351905901</v>
      </c>
      <c r="M329">
        <v>0.25011158278656997</v>
      </c>
      <c r="N329">
        <v>8938</v>
      </c>
      <c r="R329">
        <v>1846464</v>
      </c>
      <c r="T329">
        <v>5345540</v>
      </c>
    </row>
    <row r="330" spans="1:21" x14ac:dyDescent="0.3">
      <c r="A330" s="1">
        <v>45620</v>
      </c>
      <c r="B330">
        <v>3</v>
      </c>
      <c r="C330">
        <v>1581.8524911197901</v>
      </c>
      <c r="D330">
        <v>118.748629740406</v>
      </c>
      <c r="K330">
        <v>0.31813061226900502</v>
      </c>
      <c r="L330">
        <v>0.32623247820524398</v>
      </c>
      <c r="M330">
        <v>0.271860416072358</v>
      </c>
      <c r="N330">
        <v>206</v>
      </c>
      <c r="T330">
        <v>288747</v>
      </c>
    </row>
    <row r="331" spans="1:21" x14ac:dyDescent="0.3">
      <c r="A331" s="1">
        <v>45621</v>
      </c>
      <c r="B331">
        <v>141</v>
      </c>
      <c r="C331">
        <v>1953.43696266085</v>
      </c>
      <c r="D331">
        <v>5617.8058812314102</v>
      </c>
      <c r="E331">
        <v>73</v>
      </c>
      <c r="F331">
        <v>73</v>
      </c>
      <c r="K331">
        <v>0.63813811695340295</v>
      </c>
      <c r="L331">
        <v>1.5952984733133599</v>
      </c>
      <c r="M331">
        <v>0.26080687619758303</v>
      </c>
      <c r="N331">
        <v>8362</v>
      </c>
      <c r="R331">
        <v>2594934</v>
      </c>
      <c r="T331">
        <v>4176042</v>
      </c>
    </row>
    <row r="332" spans="1:21" x14ac:dyDescent="0.3">
      <c r="A332" s="1">
        <v>45622</v>
      </c>
      <c r="B332">
        <v>89</v>
      </c>
      <c r="C332">
        <v>1832.1318234436201</v>
      </c>
      <c r="D332">
        <v>2996.7138922416998</v>
      </c>
      <c r="E332">
        <v>40</v>
      </c>
      <c r="F332">
        <v>40</v>
      </c>
      <c r="K332">
        <v>0.445291174427212</v>
      </c>
      <c r="L332">
        <v>1.48027628922677</v>
      </c>
      <c r="M332">
        <v>0.25011158278656997</v>
      </c>
      <c r="N332">
        <v>4684</v>
      </c>
      <c r="R332">
        <v>1716992</v>
      </c>
      <c r="T332">
        <v>2939986</v>
      </c>
    </row>
    <row r="333" spans="1:21" x14ac:dyDescent="0.3">
      <c r="A333" s="1">
        <v>45623</v>
      </c>
      <c r="B333">
        <v>84</v>
      </c>
      <c r="C333">
        <v>1768.3016101629401</v>
      </c>
      <c r="D333">
        <v>2604.0580308980002</v>
      </c>
      <c r="E333">
        <v>43</v>
      </c>
      <c r="F333">
        <v>43</v>
      </c>
      <c r="K333">
        <v>0.56253270232067798</v>
      </c>
      <c r="L333">
        <v>1.46072981306682</v>
      </c>
      <c r="M333">
        <v>0.25785084706258898</v>
      </c>
      <c r="N333">
        <v>4004</v>
      </c>
      <c r="R333">
        <v>2057678</v>
      </c>
      <c r="T333">
        <v>1430950</v>
      </c>
    </row>
    <row r="334" spans="1:21" x14ac:dyDescent="0.3">
      <c r="A334" s="1">
        <v>45624</v>
      </c>
      <c r="B334">
        <v>141</v>
      </c>
      <c r="C334">
        <v>1909.6992477234201</v>
      </c>
      <c r="D334">
        <v>6934.71061933282</v>
      </c>
      <c r="E334">
        <v>56</v>
      </c>
      <c r="F334">
        <v>56</v>
      </c>
      <c r="K334">
        <v>0.61542836097535303</v>
      </c>
      <c r="L334">
        <v>1.6757260385457999</v>
      </c>
      <c r="M334">
        <v>0.25011158278656997</v>
      </c>
      <c r="N334">
        <v>10178</v>
      </c>
      <c r="R334">
        <v>1113095</v>
      </c>
      <c r="T334">
        <v>4976909</v>
      </c>
    </row>
    <row r="335" spans="1:21" x14ac:dyDescent="0.3">
      <c r="A335" s="1">
        <v>45625</v>
      </c>
      <c r="B335">
        <v>7</v>
      </c>
      <c r="C335">
        <v>1575.2065405931701</v>
      </c>
      <c r="D335">
        <v>316.92362044019899</v>
      </c>
      <c r="K335">
        <v>0.40816038653127301</v>
      </c>
      <c r="L335">
        <v>2.4069255840248802</v>
      </c>
      <c r="M335">
        <v>0.28273483271525301</v>
      </c>
      <c r="N335">
        <v>533</v>
      </c>
      <c r="T335">
        <v>169573</v>
      </c>
    </row>
    <row r="336" spans="1:21" x14ac:dyDescent="0.3">
      <c r="A336" s="1">
        <v>45626</v>
      </c>
      <c r="B336">
        <v>7</v>
      </c>
      <c r="C336">
        <v>1600.38408303543</v>
      </c>
      <c r="D336">
        <v>291.234984386223</v>
      </c>
      <c r="K336">
        <v>0.38862478492679298</v>
      </c>
      <c r="L336">
        <v>1.2536596219252101</v>
      </c>
      <c r="M336">
        <v>0.26098599942946399</v>
      </c>
      <c r="N336">
        <v>619</v>
      </c>
      <c r="T336">
        <v>621053</v>
      </c>
    </row>
    <row r="337" spans="1:21" x14ac:dyDescent="0.3">
      <c r="A337" s="1">
        <v>45627</v>
      </c>
      <c r="B337">
        <v>59</v>
      </c>
      <c r="C337">
        <v>1739.51349874928</v>
      </c>
      <c r="D337">
        <v>2672.1003883826202</v>
      </c>
      <c r="E337">
        <v>19</v>
      </c>
      <c r="F337">
        <v>16</v>
      </c>
      <c r="K337">
        <v>0.39133444992038502</v>
      </c>
      <c r="L337">
        <v>1.9161390904147</v>
      </c>
      <c r="M337">
        <v>0.26769719397249703</v>
      </c>
      <c r="N337">
        <v>3919</v>
      </c>
      <c r="R337">
        <v>580671</v>
      </c>
      <c r="T337">
        <v>2493145</v>
      </c>
    </row>
    <row r="338" spans="1:21" x14ac:dyDescent="0.3">
      <c r="A338" s="1">
        <v>45628</v>
      </c>
      <c r="B338">
        <v>11</v>
      </c>
      <c r="C338">
        <v>1565.75</v>
      </c>
      <c r="D338">
        <v>577.93162511380297</v>
      </c>
      <c r="E338">
        <v>1</v>
      </c>
      <c r="F338">
        <v>1</v>
      </c>
      <c r="K338">
        <v>0.33502833909568502</v>
      </c>
      <c r="L338">
        <v>1.7670722233251599</v>
      </c>
      <c r="M338">
        <v>0.32623246768636599</v>
      </c>
      <c r="N338">
        <v>1051</v>
      </c>
    </row>
    <row r="339" spans="1:21" x14ac:dyDescent="0.3">
      <c r="A339" s="1">
        <v>45629</v>
      </c>
      <c r="B339">
        <v>70</v>
      </c>
      <c r="C339">
        <v>1777.1072886405</v>
      </c>
      <c r="D339">
        <v>2272.5186602764802</v>
      </c>
      <c r="E339">
        <v>43</v>
      </c>
      <c r="F339">
        <v>43</v>
      </c>
      <c r="K339">
        <v>0.54699592343820103</v>
      </c>
      <c r="L339">
        <v>1.8815726315480299</v>
      </c>
      <c r="M339">
        <v>0.309976508282367</v>
      </c>
      <c r="N339">
        <v>3426</v>
      </c>
      <c r="R339">
        <v>1832661</v>
      </c>
      <c r="T339">
        <v>1829559</v>
      </c>
    </row>
    <row r="340" spans="1:21" x14ac:dyDescent="0.3">
      <c r="A340" s="1">
        <v>45630</v>
      </c>
      <c r="B340">
        <v>114</v>
      </c>
      <c r="C340">
        <v>1916.4688339819099</v>
      </c>
      <c r="D340">
        <v>2625.3591837649301</v>
      </c>
      <c r="E340">
        <v>67</v>
      </c>
      <c r="F340">
        <v>67</v>
      </c>
      <c r="K340">
        <v>0.50731791737786702</v>
      </c>
      <c r="L340">
        <v>1.51956648883774</v>
      </c>
      <c r="M340">
        <v>0.25011158278656997</v>
      </c>
      <c r="N340">
        <v>4155</v>
      </c>
      <c r="R340">
        <v>3755644</v>
      </c>
      <c r="T340">
        <v>2271484</v>
      </c>
    </row>
    <row r="341" spans="1:21" x14ac:dyDescent="0.3">
      <c r="A341" s="1">
        <v>45631</v>
      </c>
      <c r="B341">
        <v>89</v>
      </c>
      <c r="C341">
        <v>1793.09742598002</v>
      </c>
      <c r="D341">
        <v>3322.5580087104299</v>
      </c>
      <c r="E341">
        <v>36</v>
      </c>
      <c r="F341">
        <v>36</v>
      </c>
      <c r="K341">
        <v>0.56423606223711398</v>
      </c>
      <c r="L341">
        <v>1.6409204340400001</v>
      </c>
      <c r="M341">
        <v>0.25011158278656997</v>
      </c>
      <c r="N341">
        <v>5127</v>
      </c>
      <c r="R341">
        <v>1503324</v>
      </c>
      <c r="T341">
        <v>2468596</v>
      </c>
    </row>
    <row r="342" spans="1:21" x14ac:dyDescent="0.3">
      <c r="A342" s="1">
        <v>45632</v>
      </c>
      <c r="C342">
        <v>1565.75</v>
      </c>
      <c r="D342">
        <v>33.275714927256701</v>
      </c>
      <c r="K342">
        <v>0.27729762439380501</v>
      </c>
      <c r="L342">
        <v>0.28273483271525301</v>
      </c>
      <c r="M342">
        <v>0.271860416072358</v>
      </c>
      <c r="N342">
        <v>74</v>
      </c>
    </row>
    <row r="343" spans="1:21" x14ac:dyDescent="0.3">
      <c r="A343" s="1">
        <v>45633</v>
      </c>
      <c r="B343">
        <v>54</v>
      </c>
      <c r="C343">
        <v>1712.57904069867</v>
      </c>
      <c r="D343">
        <v>2112.6662672177399</v>
      </c>
      <c r="E343">
        <v>25</v>
      </c>
      <c r="F343">
        <v>25</v>
      </c>
      <c r="K343">
        <v>0.44644726555089398</v>
      </c>
      <c r="L343">
        <v>1.4569064998612999</v>
      </c>
      <c r="M343">
        <v>0.271860416072358</v>
      </c>
      <c r="N343">
        <v>3133</v>
      </c>
      <c r="R343">
        <v>1010528</v>
      </c>
      <c r="T343">
        <v>1358388</v>
      </c>
      <c r="U343">
        <v>84506</v>
      </c>
    </row>
    <row r="344" spans="1:21" x14ac:dyDescent="0.3">
      <c r="A344" s="1">
        <v>45634</v>
      </c>
      <c r="B344">
        <v>33</v>
      </c>
      <c r="C344">
        <v>1617.9641985553801</v>
      </c>
      <c r="D344">
        <v>1248.6479493766101</v>
      </c>
      <c r="K344">
        <v>0.36083507411269999</v>
      </c>
      <c r="L344">
        <v>1.4938536204131201</v>
      </c>
      <c r="M344">
        <v>0.25011158278656997</v>
      </c>
      <c r="N344">
        <v>2055</v>
      </c>
      <c r="T344">
        <v>936296</v>
      </c>
    </row>
    <row r="345" spans="1:21" x14ac:dyDescent="0.3">
      <c r="A345" s="1">
        <v>45635</v>
      </c>
      <c r="B345">
        <v>2</v>
      </c>
      <c r="C345">
        <v>1565.75</v>
      </c>
      <c r="D345">
        <v>101.78453977749101</v>
      </c>
      <c r="K345">
        <v>0.31862876859104999</v>
      </c>
      <c r="L345">
        <v>0.61098355769825297</v>
      </c>
      <c r="M345">
        <v>0.26098599942946399</v>
      </c>
      <c r="N345">
        <v>247</v>
      </c>
    </row>
    <row r="346" spans="1:21" x14ac:dyDescent="0.3">
      <c r="A346" s="1">
        <v>45636</v>
      </c>
      <c r="B346">
        <v>127</v>
      </c>
      <c r="C346">
        <v>1955.2788822119901</v>
      </c>
      <c r="D346">
        <v>3934.3212293925599</v>
      </c>
      <c r="E346">
        <v>66</v>
      </c>
      <c r="F346">
        <v>66</v>
      </c>
      <c r="K346">
        <v>0.76501964136794898</v>
      </c>
      <c r="L346">
        <v>1.68064968323436</v>
      </c>
      <c r="M346">
        <v>0.25011158278656997</v>
      </c>
      <c r="N346">
        <v>5948</v>
      </c>
      <c r="R346">
        <v>2984026</v>
      </c>
      <c r="T346">
        <v>3792848</v>
      </c>
    </row>
    <row r="347" spans="1:21" x14ac:dyDescent="0.3">
      <c r="A347" s="1">
        <v>45637</v>
      </c>
      <c r="B347">
        <v>38</v>
      </c>
      <c r="C347">
        <v>1659.8557761111099</v>
      </c>
      <c r="D347">
        <v>1633.32702927129</v>
      </c>
      <c r="E347">
        <v>6</v>
      </c>
      <c r="F347">
        <v>6</v>
      </c>
      <c r="K347">
        <v>0.42262007371666699</v>
      </c>
      <c r="L347">
        <v>1.3792942989835899</v>
      </c>
      <c r="M347">
        <v>0.25011158278656997</v>
      </c>
      <c r="N347">
        <v>2628</v>
      </c>
      <c r="T347">
        <v>1687488</v>
      </c>
    </row>
    <row r="348" spans="1:21" x14ac:dyDescent="0.3">
      <c r="A348" s="1">
        <v>45638</v>
      </c>
      <c r="B348">
        <v>92</v>
      </c>
      <c r="C348">
        <v>1850.92949057739</v>
      </c>
      <c r="D348">
        <v>2956.1072730650399</v>
      </c>
      <c r="E348">
        <v>43</v>
      </c>
      <c r="F348">
        <v>43</v>
      </c>
      <c r="K348">
        <v>0.68400509380887997</v>
      </c>
      <c r="L348">
        <v>1.4893494715473801</v>
      </c>
      <c r="M348">
        <v>0.29360924935814697</v>
      </c>
      <c r="N348">
        <v>4424</v>
      </c>
      <c r="R348">
        <v>2083772</v>
      </c>
      <c r="T348">
        <v>2884705</v>
      </c>
    </row>
    <row r="349" spans="1:21" x14ac:dyDescent="0.3">
      <c r="A349" s="1">
        <v>45639</v>
      </c>
      <c r="B349">
        <v>117</v>
      </c>
      <c r="C349">
        <v>1956.67727098201</v>
      </c>
      <c r="D349">
        <v>2947.9006468571001</v>
      </c>
      <c r="E349">
        <v>66</v>
      </c>
      <c r="F349">
        <v>66</v>
      </c>
      <c r="K349">
        <v>0.44979291243448699</v>
      </c>
      <c r="L349">
        <v>1.6016058609411801</v>
      </c>
      <c r="M349">
        <v>0.25011158278656997</v>
      </c>
      <c r="N349">
        <v>4431</v>
      </c>
      <c r="R349">
        <v>3672398</v>
      </c>
      <c r="T349">
        <v>3081546</v>
      </c>
    </row>
    <row r="350" spans="1:21" x14ac:dyDescent="0.3">
      <c r="A350" s="1">
        <v>45640</v>
      </c>
      <c r="B350">
        <v>39</v>
      </c>
      <c r="C350">
        <v>1701.77705130247</v>
      </c>
      <c r="D350">
        <v>1554.4625146802</v>
      </c>
      <c r="E350">
        <v>11</v>
      </c>
      <c r="F350">
        <v>11</v>
      </c>
      <c r="K350">
        <v>0.41205281121152798</v>
      </c>
      <c r="L350">
        <v>1.2857067624151799</v>
      </c>
      <c r="M350">
        <v>0.28273483271525301</v>
      </c>
      <c r="N350">
        <v>2529</v>
      </c>
      <c r="R350">
        <v>539195</v>
      </c>
      <c r="T350">
        <v>1862418</v>
      </c>
    </row>
    <row r="351" spans="1:21" x14ac:dyDescent="0.3">
      <c r="A351" s="1">
        <v>45641</v>
      </c>
      <c r="B351">
        <v>15</v>
      </c>
      <c r="C351">
        <v>1616.9097174416099</v>
      </c>
      <c r="D351">
        <v>161.158854647694</v>
      </c>
      <c r="E351">
        <v>11</v>
      </c>
      <c r="F351">
        <v>11</v>
      </c>
      <c r="K351">
        <v>0.29983933952435898</v>
      </c>
      <c r="L351">
        <v>0.71176731905044199</v>
      </c>
      <c r="M351">
        <v>0.271860416072358</v>
      </c>
      <c r="N351">
        <v>279</v>
      </c>
      <c r="R351">
        <v>771034</v>
      </c>
      <c r="T351">
        <v>92585</v>
      </c>
    </row>
    <row r="352" spans="1:21" x14ac:dyDescent="0.3">
      <c r="A352" s="1">
        <v>45642</v>
      </c>
      <c r="B352">
        <v>122</v>
      </c>
      <c r="C352">
        <v>1933.1830749575599</v>
      </c>
      <c r="D352">
        <v>4540.04468666925</v>
      </c>
      <c r="E352">
        <v>58</v>
      </c>
      <c r="F352">
        <v>58</v>
      </c>
      <c r="K352">
        <v>0.64793274647044197</v>
      </c>
      <c r="L352">
        <v>1.4496700153534201</v>
      </c>
      <c r="M352">
        <v>0.25825845138221398</v>
      </c>
      <c r="N352">
        <v>6733</v>
      </c>
      <c r="R352">
        <v>1887795</v>
      </c>
      <c r="T352">
        <v>4569305</v>
      </c>
    </row>
    <row r="353" spans="1:21" x14ac:dyDescent="0.3">
      <c r="A353" s="1">
        <v>45643</v>
      </c>
      <c r="B353">
        <v>67</v>
      </c>
      <c r="C353">
        <v>1761.2116512586799</v>
      </c>
      <c r="D353">
        <v>2616.2101238405799</v>
      </c>
      <c r="E353">
        <v>30</v>
      </c>
      <c r="F353">
        <v>30</v>
      </c>
      <c r="K353">
        <v>0.56998709259504898</v>
      </c>
      <c r="L353">
        <v>1.6064227464221801</v>
      </c>
      <c r="M353">
        <v>0.26527337000784901</v>
      </c>
      <c r="N353">
        <v>4100</v>
      </c>
      <c r="R353">
        <v>1015912</v>
      </c>
      <c r="T353">
        <v>2418227</v>
      </c>
    </row>
    <row r="354" spans="1:21" x14ac:dyDescent="0.3">
      <c r="A354" s="1">
        <v>45644</v>
      </c>
      <c r="B354">
        <v>16</v>
      </c>
      <c r="C354">
        <v>1615.2015253480599</v>
      </c>
      <c r="D354">
        <v>935.78658177299201</v>
      </c>
      <c r="E354">
        <v>2</v>
      </c>
      <c r="F354">
        <v>2</v>
      </c>
      <c r="K354">
        <v>0.41541352321616498</v>
      </c>
      <c r="L354">
        <v>1.5270409288789399</v>
      </c>
      <c r="M354">
        <v>0.271860416072358</v>
      </c>
      <c r="N354">
        <v>1599</v>
      </c>
      <c r="T354">
        <v>886755</v>
      </c>
    </row>
    <row r="355" spans="1:21" x14ac:dyDescent="0.3">
      <c r="A355" s="1">
        <v>45645</v>
      </c>
      <c r="B355">
        <v>95</v>
      </c>
      <c r="C355">
        <v>1766.19977676235</v>
      </c>
      <c r="D355">
        <v>4281.1475080008904</v>
      </c>
      <c r="E355">
        <v>15</v>
      </c>
      <c r="F355">
        <v>15</v>
      </c>
      <c r="K355">
        <v>0.593562225503519</v>
      </c>
      <c r="L355">
        <v>1.52528071534987</v>
      </c>
      <c r="M355">
        <v>0.26098599942946399</v>
      </c>
      <c r="N355">
        <v>6741</v>
      </c>
      <c r="T355">
        <v>3594431</v>
      </c>
    </row>
    <row r="356" spans="1:21" x14ac:dyDescent="0.3">
      <c r="A356" s="1">
        <v>45646</v>
      </c>
      <c r="B356">
        <v>107</v>
      </c>
      <c r="C356">
        <v>1734.0055544822501</v>
      </c>
      <c r="D356">
        <v>4122.3543200583599</v>
      </c>
      <c r="K356">
        <v>0.37704477365480898</v>
      </c>
      <c r="L356">
        <v>1.4672278785992301</v>
      </c>
      <c r="M356">
        <v>0.24925460325688101</v>
      </c>
      <c r="N356">
        <v>6714</v>
      </c>
      <c r="T356">
        <v>3017129</v>
      </c>
    </row>
    <row r="357" spans="1:21" x14ac:dyDescent="0.3">
      <c r="A357" s="1">
        <v>45647</v>
      </c>
      <c r="B357">
        <v>80</v>
      </c>
      <c r="C357">
        <v>1674.7525709736999</v>
      </c>
      <c r="D357">
        <v>4136.7765800063898</v>
      </c>
      <c r="E357">
        <v>6</v>
      </c>
      <c r="F357">
        <v>6</v>
      </c>
      <c r="K357">
        <v>0.39890610686509198</v>
      </c>
      <c r="L357">
        <v>1.3989016681158799</v>
      </c>
      <c r="M357">
        <v>0.25011158278656997</v>
      </c>
      <c r="N357">
        <v>6537</v>
      </c>
      <c r="T357">
        <v>1954614</v>
      </c>
    </row>
    <row r="358" spans="1:21" x14ac:dyDescent="0.3">
      <c r="A358" s="1">
        <v>45648</v>
      </c>
      <c r="B358">
        <v>38</v>
      </c>
      <c r="C358">
        <v>1624.90567400752</v>
      </c>
      <c r="D358">
        <v>1561.0757541016301</v>
      </c>
      <c r="E358">
        <v>4</v>
      </c>
      <c r="F358">
        <v>4</v>
      </c>
      <c r="K358">
        <v>0.36667452972914699</v>
      </c>
      <c r="L358">
        <v>1.5345464493699199</v>
      </c>
      <c r="M358">
        <v>0.27002813772912299</v>
      </c>
      <c r="N358">
        <v>2440</v>
      </c>
      <c r="T358">
        <v>1060769</v>
      </c>
    </row>
    <row r="359" spans="1:21" x14ac:dyDescent="0.3">
      <c r="A359" s="1">
        <v>45649</v>
      </c>
      <c r="B359">
        <v>17</v>
      </c>
      <c r="C359">
        <v>1593.0846489877699</v>
      </c>
      <c r="D359">
        <v>646.44049118027203</v>
      </c>
      <c r="E359">
        <v>1</v>
      </c>
      <c r="F359">
        <v>1</v>
      </c>
      <c r="K359">
        <v>0.34809449539620102</v>
      </c>
      <c r="L359">
        <v>1.20635644862779</v>
      </c>
      <c r="M359">
        <v>0.26098599942946399</v>
      </c>
      <c r="N359">
        <v>1118</v>
      </c>
      <c r="T359">
        <v>490161</v>
      </c>
    </row>
    <row r="360" spans="1:21" x14ac:dyDescent="0.3">
      <c r="A360" s="1">
        <v>45650</v>
      </c>
      <c r="B360">
        <v>9</v>
      </c>
      <c r="C360">
        <v>1578.3043853559</v>
      </c>
      <c r="D360">
        <v>623.23875642602604</v>
      </c>
      <c r="K360">
        <v>0.35766695433295298</v>
      </c>
      <c r="L360">
        <v>1.7515224965320499</v>
      </c>
      <c r="M360">
        <v>0.25011158278656997</v>
      </c>
      <c r="N360">
        <v>1164</v>
      </c>
      <c r="T360">
        <v>225123</v>
      </c>
    </row>
    <row r="361" spans="1:21" x14ac:dyDescent="0.3">
      <c r="A361" s="1">
        <v>45651</v>
      </c>
      <c r="B361">
        <v>209</v>
      </c>
      <c r="C361">
        <v>2193.8206404528901</v>
      </c>
      <c r="D361">
        <v>11754.0224969016</v>
      </c>
      <c r="E361">
        <v>70</v>
      </c>
      <c r="F361">
        <v>70</v>
      </c>
      <c r="K361">
        <v>0.50149121595764701</v>
      </c>
      <c r="L361">
        <v>1.53504436097522</v>
      </c>
      <c r="M361">
        <v>0.24968050002049899</v>
      </c>
      <c r="N361">
        <v>17321</v>
      </c>
      <c r="T361">
        <v>11262453</v>
      </c>
    </row>
    <row r="362" spans="1:21" x14ac:dyDescent="0.3">
      <c r="A362" s="1">
        <v>45652</v>
      </c>
      <c r="B362">
        <v>6</v>
      </c>
      <c r="C362">
        <v>1631.0383713727799</v>
      </c>
      <c r="D362">
        <v>326.189335214224</v>
      </c>
      <c r="K362">
        <v>0.75794953744848603</v>
      </c>
      <c r="L362">
        <v>1.5124282812540499</v>
      </c>
      <c r="M362">
        <v>0.28273483271525301</v>
      </c>
      <c r="N362">
        <v>702</v>
      </c>
      <c r="T362">
        <v>747574</v>
      </c>
      <c r="U362">
        <v>184781</v>
      </c>
    </row>
    <row r="363" spans="1:21" x14ac:dyDescent="0.3">
      <c r="A363" s="1">
        <v>45653</v>
      </c>
      <c r="B363">
        <v>107</v>
      </c>
      <c r="C363">
        <v>1880.76290951754</v>
      </c>
      <c r="D363">
        <v>5093.3281142776304</v>
      </c>
      <c r="E363">
        <v>14</v>
      </c>
      <c r="F363">
        <v>14</v>
      </c>
      <c r="K363">
        <v>0.66977386868289102</v>
      </c>
      <c r="L363">
        <v>1.9663441128429</v>
      </c>
      <c r="M363">
        <v>0.26049111689001198</v>
      </c>
      <c r="N363">
        <v>7818</v>
      </c>
      <c r="R363">
        <v>214886</v>
      </c>
      <c r="T363">
        <v>5418885</v>
      </c>
    </row>
    <row r="364" spans="1:21" x14ac:dyDescent="0.3">
      <c r="A364" s="1">
        <v>45654</v>
      </c>
      <c r="B364">
        <v>49</v>
      </c>
      <c r="C364">
        <v>1675.3195359690001</v>
      </c>
      <c r="D364">
        <v>1699.7637894117299</v>
      </c>
      <c r="K364">
        <v>0.44846505729250202</v>
      </c>
      <c r="L364">
        <v>1.25182762250978</v>
      </c>
      <c r="M364">
        <v>0.26294934819931098</v>
      </c>
      <c r="N364">
        <v>3043</v>
      </c>
      <c r="T364">
        <v>1964782</v>
      </c>
    </row>
    <row r="365" spans="1:21" x14ac:dyDescent="0.3">
      <c r="A365" s="1">
        <v>45655</v>
      </c>
      <c r="B365">
        <v>70</v>
      </c>
      <c r="C365">
        <v>1797.7245848427899</v>
      </c>
      <c r="D365">
        <v>3614.8201392327801</v>
      </c>
      <c r="E365">
        <v>15</v>
      </c>
      <c r="F365">
        <v>15</v>
      </c>
      <c r="K365">
        <v>0.38481021528570297</v>
      </c>
      <c r="L365">
        <v>1.52604243241597</v>
      </c>
      <c r="M365">
        <v>0.25011158278656997</v>
      </c>
      <c r="N365">
        <v>5593</v>
      </c>
      <c r="T365">
        <v>4159726</v>
      </c>
    </row>
    <row r="366" spans="1:21" x14ac:dyDescent="0.3">
      <c r="A366" s="1">
        <v>45656</v>
      </c>
      <c r="B366">
        <v>56</v>
      </c>
      <c r="C366">
        <v>1833.44220158652</v>
      </c>
      <c r="D366">
        <v>3140.3140131688501</v>
      </c>
      <c r="E366">
        <v>17</v>
      </c>
      <c r="F366">
        <v>17</v>
      </c>
      <c r="K366">
        <v>0.46693773333931898</v>
      </c>
      <c r="L366">
        <v>2.4977922741074798</v>
      </c>
      <c r="M366">
        <v>0.25011158278656997</v>
      </c>
      <c r="N366">
        <v>4980</v>
      </c>
      <c r="T366">
        <v>4800210</v>
      </c>
    </row>
    <row r="367" spans="1:21" x14ac:dyDescent="0.3">
      <c r="A367" s="1">
        <v>45657</v>
      </c>
      <c r="B367">
        <v>93</v>
      </c>
      <c r="C367">
        <v>1902.4015736854999</v>
      </c>
      <c r="D367">
        <v>5478.2713770713999</v>
      </c>
      <c r="E367">
        <v>38</v>
      </c>
      <c r="F367">
        <v>37</v>
      </c>
      <c r="K367">
        <v>0.57238522736230901</v>
      </c>
      <c r="L367">
        <v>2.1636436924521698</v>
      </c>
      <c r="M367">
        <v>0.25011158278656997</v>
      </c>
      <c r="N367">
        <v>8125</v>
      </c>
      <c r="T367">
        <v>6036777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8"/>
  <sheetViews>
    <sheetView workbookViewId="0">
      <selection activeCell="M22" sqref="M22"/>
    </sheetView>
  </sheetViews>
  <sheetFormatPr defaultRowHeight="14.4" x14ac:dyDescent="0.3"/>
  <cols>
    <col min="2" max="2" width="11" bestFit="1" customWidth="1"/>
    <col min="3" max="3" width="19.33203125" bestFit="1" customWidth="1"/>
    <col min="4" max="4" width="20.5546875" bestFit="1" customWidth="1"/>
    <col min="6" max="6" width="13.5546875" bestFit="1" customWidth="1"/>
  </cols>
  <sheetData>
    <row r="1" spans="2:6" x14ac:dyDescent="0.3">
      <c r="B1" t="s">
        <v>54</v>
      </c>
      <c r="C1" t="s">
        <v>62</v>
      </c>
      <c r="D1" t="s">
        <v>63</v>
      </c>
      <c r="E1" t="s">
        <v>54</v>
      </c>
      <c r="F1" t="s">
        <v>64</v>
      </c>
    </row>
    <row r="2" spans="2:6" x14ac:dyDescent="0.3">
      <c r="B2" t="s">
        <v>55</v>
      </c>
      <c r="C2">
        <v>300</v>
      </c>
      <c r="D2">
        <v>40</v>
      </c>
      <c r="E2" t="s">
        <v>55</v>
      </c>
      <c r="F2">
        <f>(C2/60)*D2</f>
        <v>200</v>
      </c>
    </row>
    <row r="3" spans="2:6" x14ac:dyDescent="0.3">
      <c r="B3" t="s">
        <v>56</v>
      </c>
      <c r="C3">
        <v>600</v>
      </c>
      <c r="D3">
        <v>30</v>
      </c>
      <c r="E3" t="s">
        <v>56</v>
      </c>
      <c r="F3">
        <f>(C3/60)*D3</f>
        <v>300</v>
      </c>
    </row>
    <row r="4" spans="2:6" x14ac:dyDescent="0.3">
      <c r="B4" t="s">
        <v>57</v>
      </c>
      <c r="C4">
        <v>200</v>
      </c>
      <c r="D4">
        <v>15</v>
      </c>
      <c r="E4" t="s">
        <v>57</v>
      </c>
      <c r="F4">
        <f t="shared" ref="F4:F8" si="0">(C4/60)*D4</f>
        <v>50</v>
      </c>
    </row>
    <row r="5" spans="2:6" x14ac:dyDescent="0.3">
      <c r="B5" t="s">
        <v>58</v>
      </c>
      <c r="C5">
        <v>800</v>
      </c>
      <c r="D5">
        <v>20</v>
      </c>
      <c r="E5" t="s">
        <v>58</v>
      </c>
      <c r="F5">
        <f>(C5/60)*D5</f>
        <v>266.66666666666669</v>
      </c>
    </row>
    <row r="6" spans="2:6" x14ac:dyDescent="0.3">
      <c r="B6" t="s">
        <v>59</v>
      </c>
      <c r="C6">
        <v>500</v>
      </c>
      <c r="D6">
        <v>10</v>
      </c>
      <c r="E6" t="s">
        <v>59</v>
      </c>
      <c r="F6">
        <f t="shared" si="0"/>
        <v>83.333333333333343</v>
      </c>
    </row>
    <row r="7" spans="2:6" x14ac:dyDescent="0.3">
      <c r="B7" t="s">
        <v>60</v>
      </c>
      <c r="C7">
        <v>600</v>
      </c>
      <c r="D7">
        <v>30</v>
      </c>
      <c r="E7" t="s">
        <v>60</v>
      </c>
      <c r="F7">
        <f t="shared" si="0"/>
        <v>300</v>
      </c>
    </row>
    <row r="8" spans="2:6" x14ac:dyDescent="0.3">
      <c r="B8" t="s">
        <v>61</v>
      </c>
      <c r="C8">
        <v>800</v>
      </c>
      <c r="D8">
        <v>30</v>
      </c>
      <c r="E8" t="s">
        <v>61</v>
      </c>
      <c r="F8">
        <f t="shared" si="0"/>
        <v>400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Sheet13</vt:lpstr>
      <vt:lpstr>Sheet14</vt:lpstr>
      <vt:lpstr>KPI matrices</vt:lpstr>
      <vt:lpstr>per day activity duration</vt:lpstr>
      <vt:lpstr>Steps over time</vt:lpstr>
      <vt:lpstr>Sheet11</vt:lpstr>
      <vt:lpstr>Speed Trend</vt:lpstr>
      <vt:lpstr>Sheet10</vt:lpstr>
      <vt:lpstr>Sheet12</vt:lpstr>
      <vt:lpstr>Daily activity metrics</vt:lpstr>
      <vt:lpstr>Dashboard</vt:lpstr>
      <vt:lpstr>metrices 2</vt:lpstr>
      <vt:lpstr>matrices 3</vt:lpstr>
      <vt:lpstr>Sheet9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subhash kumar</dc:creator>
  <cp:lastModifiedBy>DeltaXI</cp:lastModifiedBy>
  <dcterms:created xsi:type="dcterms:W3CDTF">2025-04-15T09:37:18Z</dcterms:created>
  <dcterms:modified xsi:type="dcterms:W3CDTF">2025-04-15T11:02:24Z</dcterms:modified>
</cp:coreProperties>
</file>